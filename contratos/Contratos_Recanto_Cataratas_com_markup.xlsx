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râmetros" sheetId="1" state="visible" r:id="rId3"/>
    <sheet name="Resumo" sheetId="2" state="visible" r:id="rId4"/>
    <sheet name="Itens Consolidados" sheetId="3" state="visible" r:id="rId5"/>
    <sheet name="CT-149" sheetId="4" state="visible" r:id="rId6"/>
    <sheet name="CT-164" sheetId="5" state="visible" r:id="rId7"/>
    <sheet name="CT-196" sheetId="6" state="visible" r:id="rId8"/>
    <sheet name="CT-212" sheetId="7" state="visible" r:id="rId9"/>
    <sheet name="CT-216" sheetId="8" state="visible" r:id="rId10"/>
    <sheet name="CT-217" sheetId="9" state="visible" r:id="rId11"/>
    <sheet name="Conferência" sheetId="10" state="visible" r:id="rId12"/>
  </sheets>
  <definedNames>
    <definedName function="false" hidden="false" localSheetId="9" name="_xlnm.Print_Titles" vbProcedure="false">Conferência!$4:$4</definedName>
    <definedName function="false" hidden="false" localSheetId="2" name="_xlnm.Print_Titles" vbProcedure="false">'Itens Consolidados'!$4:$4</definedName>
    <definedName function="false" hidden="true" localSheetId="2" name="_xlnm._FilterDatabase" vbProcedure="false">'Itens Consolidados'!$A$4:$S$40</definedName>
    <definedName function="false" hidden="false" localSheetId="1" name="_xlnm.Print_Titles" vbProcedure="false">Resumo!$5:$5</definedName>
  </definedNames>
  <calcPr iterateCount="100" refMode="A1" iterate="false" iterateDelta="0.0001"/>
  <extLst>
    <ext xmlns:loext="http://schemas.libreoffice.org/" uri="{7626C862-2A13-11E5-B345-FEFF819CDC9F}">
      <loext:extCalcPr stringRefSyntax="ExcelA1"/>
    </ext>
  </extLst>
</workbook>
</file>

<file path=xl/comments10.xml><?xml version="1.0" encoding="utf-8"?>
<comments xmlns="http://schemas.openxmlformats.org/spreadsheetml/2006/main" xmlns:xdr="http://schemas.openxmlformats.org/drawingml/2006/spreadsheetDrawing">
  <authors>
    <author>Unknown Author</author>
  </authors>
  <commentList>
    <comment ref="E23" authorId="0">
      <text>
        <r>
          <rPr>
            <sz val="10"/>
            <rFont val="Arial"/>
            <family val="2"/>
          </rPr>
          <t xml:space="preserve">Valores impressos no campo 'Informações do contrato' de cada PDF (Valor do inicial / Valor de aditivos / Valor do contrato), emitidos por JESSICA RIBEIRO em 21/08/2026, revisão R00.</t>
        </r>
      </text>
    </comment>
  </commentList>
</comments>
</file>

<file path=xl/sharedStrings.xml><?xml version="1.0" encoding="utf-8"?>
<sst xmlns="http://schemas.openxmlformats.org/spreadsheetml/2006/main" count="718" uniqueCount="264">
  <si>
    <t xml:space="preserve">PARÂMETROS DE MARKUP</t>
  </si>
  <si>
    <t xml:space="preserve">Marv Martins Notari Construtora Ltda — Obra 40200 Empreita Recanto Cataratas Thermas Resort</t>
  </si>
  <si>
    <t xml:space="preserve">FAIXA DE MARKUP SOLICITADA</t>
  </si>
  <si>
    <t xml:space="preserve">Markup mínimo (piso da faixa)</t>
  </si>
  <si>
    <t xml:space="preserve">Piso da faixa de 35% a 40% solicitada. Alimenta as colunas '+35%' de todas as abas.</t>
  </si>
  <si>
    <t xml:space="preserve">Markup máximo (teto da faixa)</t>
  </si>
  <si>
    <t xml:space="preserve">Teto da faixa de 35% a 40% solicitada. Alimenta as colunas '+40%' de todas as abas.</t>
  </si>
  <si>
    <t xml:space="preserve">MARKUP APLICADO</t>
  </si>
  <si>
    <t xml:space="preserve">CÉLULA EDITÁVEL. Altere aqui e TODAS as abas recalculam automaticamente. Padrão = 37,5% (ponto médio da faixa de 35% a 40%). Digite 0,35 para 35% ou 0,40 para 40%.</t>
  </si>
  <si>
    <t xml:space="preserve">COMO O MARKUP É APLICADO</t>
  </si>
  <si>
    <t xml:space="preserve">•  O markup incide sobre o VALOR UNITÁRIO de mão de obra de cada item.</t>
  </si>
  <si>
    <t xml:space="preserve">•  O total do item é recalculado como: quantidade contratada x valor unitário majorado.</t>
  </si>
  <si>
    <t xml:space="preserve">•  A quantidade contratada NÃO é alterada — apenas o preço.</t>
  </si>
  <si>
    <t xml:space="preserve">•  Como a quantidade é constante, o total majorado equivale ao total original x (1 + markup).</t>
  </si>
  <si>
    <t xml:space="preserve">•  Todos os 6 contratos são de mão de obra: o valor de material é 0,00 em 100% dos itens, por isso a coluna de material foi omitida.</t>
  </si>
  <si>
    <t xml:space="preserve">•  Itens iniciais e itens de aditivo recebem o mesmo markup.</t>
  </si>
  <si>
    <t xml:space="preserve">LEGENDA DE CORES</t>
  </si>
  <si>
    <t xml:space="preserve">Texto azul</t>
  </si>
  <si>
    <t xml:space="preserve">Valor digitado, extraído do contrato em PDF (quantidade e valor unitário).</t>
  </si>
  <si>
    <t xml:space="preserve">Texto preto</t>
  </si>
  <si>
    <t xml:space="preserve">Fórmula calculada na própria aba.</t>
  </si>
  <si>
    <t xml:space="preserve">Texto verde</t>
  </si>
  <si>
    <t xml:space="preserve">Link para a aba 'Itens Consolidados', que é a fonte única dos dados.</t>
  </si>
  <si>
    <t xml:space="preserve">Fundo amarelo</t>
  </si>
  <si>
    <t xml:space="preserve">Célula editável pelo usuário e linhas de total.</t>
  </si>
  <si>
    <t xml:space="preserve">Fundo creme</t>
  </si>
  <si>
    <t xml:space="preserve">Item proveniente de aditivo, não do contrato inicial.</t>
  </si>
  <si>
    <t xml:space="preserve">ORIGEM DOS DADOS</t>
  </si>
  <si>
    <t xml:space="preserve">Todos os valores foram extraídos dos contratos em PDF emitidos por JESSICA RIBEIRO em 21/08/2026, revisão R00. Os arquivos de origem estão indicados no cabeçalho de cada aba de contrato e na aba 'Conferência'.</t>
  </si>
  <si>
    <t xml:space="preserve">RESUMO DOS CONTRATOS COM MARKUP</t>
  </si>
  <si>
    <t xml:space="preserve">Todos os valores calculados a partir da aba 'Itens Consolidados'. O percentual aplicado é o da célula Parâmetros!B7.</t>
  </si>
  <si>
    <t xml:space="preserve">Markup aplicado:</t>
  </si>
  <si>
    <t xml:space="preserve">← altere em Parâmetros!B7 para recalcular a planilha inteira</t>
  </si>
  <si>
    <t xml:space="preserve">Contrato</t>
  </si>
  <si>
    <t xml:space="preserve">Fornecedor</t>
  </si>
  <si>
    <t xml:space="preserve">CNPJ</t>
  </si>
  <si>
    <t xml:space="preserve">Objeto do contrato</t>
  </si>
  <si>
    <t xml:space="preserve">Início</t>
  </si>
  <si>
    <t xml:space="preserve">Término</t>
  </si>
  <si>
    <t xml:space="preserve">Nº itens</t>
  </si>
  <si>
    <t xml:space="preserve">Valor inicial</t>
  </si>
  <si>
    <t xml:space="preserve">Valor aditivos</t>
  </si>
  <si>
    <t xml:space="preserve">Valor total original</t>
  </si>
  <si>
    <t xml:space="preserve">Total +35%</t>
  </si>
  <si>
    <t xml:space="preserve">Total +40%</t>
  </si>
  <si>
    <t xml:space="preserve">Total aplicado</t>
  </si>
  <si>
    <t xml:space="preserve">Acréscimo (R$)</t>
  </si>
  <si>
    <t xml:space="preserve">CT/149</t>
  </si>
  <si>
    <t xml:space="preserve">53.000.661 WAGNER LUIZ BACKES MACHADO</t>
  </si>
  <si>
    <t xml:space="preserve">53.000.661/0001-83</t>
  </si>
  <si>
    <t xml:space="preserve">Fornecimento de mão de obra estrutura metálica doca maestra.</t>
  </si>
  <si>
    <t xml:space="preserve">12/12/2025</t>
  </si>
  <si>
    <t xml:space="preserve">12/03/2026</t>
  </si>
  <si>
    <t xml:space="preserve">CT/164</t>
  </si>
  <si>
    <t xml:space="preserve">CAM EMPREITEIRA DE MAO DE OBRA LTDA</t>
  </si>
  <si>
    <t xml:space="preserve">01.128.174/0001-05</t>
  </si>
  <si>
    <t xml:space="preserve">Realizar o polimento mecanizado de piso e lajes de concreto.</t>
  </si>
  <si>
    <t xml:space="preserve">03/01/2026</t>
  </si>
  <si>
    <t xml:space="preserve">30/06/2026</t>
  </si>
  <si>
    <t xml:space="preserve">CT/196</t>
  </si>
  <si>
    <t xml:space="preserve">ROSENILDE RODRIGUES LINDOLFO DE SOUZA</t>
  </si>
  <si>
    <t xml:space="preserve">42.578.638/0001-54</t>
  </si>
  <si>
    <t xml:space="preserve">Fornecimento de mão de obra especializada para montagem e execução de paredes em drywall, conforme especificações do projeto.</t>
  </si>
  <si>
    <t xml:space="preserve">18/05/2026</t>
  </si>
  <si>
    <t xml:space="preserve">20/06/2026</t>
  </si>
  <si>
    <t xml:space="preserve">CT/212</t>
  </si>
  <si>
    <t xml:space="preserve">AGR DELAVI PISOS LTDA</t>
  </si>
  <si>
    <t xml:space="preserve">48.094.845/0001-10</t>
  </si>
  <si>
    <t xml:space="preserve">Fornecimento de mão de obra para execução de piso Fulget no Centro de Eventos do Hotel Recanto e do Restaurante.</t>
  </si>
  <si>
    <t xml:space="preserve">08/07/2026</t>
  </si>
  <si>
    <t xml:space="preserve">08/08/2026</t>
  </si>
  <si>
    <t xml:space="preserve">CT/216</t>
  </si>
  <si>
    <t xml:space="preserve">LOURIVAL BONFIM 66371490982</t>
  </si>
  <si>
    <t xml:space="preserve">13.932.826/0001-30</t>
  </si>
  <si>
    <t xml:space="preserve">Fornecimento de mão de obra para execução do revestimento em ACM na região do porte-cochère do Centro de Eventos do Hotel Recanto.</t>
  </si>
  <si>
    <t xml:space="preserve">25/06/2026</t>
  </si>
  <si>
    <t xml:space="preserve">31/07/2026</t>
  </si>
  <si>
    <t xml:space="preserve">CT/217</t>
  </si>
  <si>
    <t xml:space="preserve">60.623.714 VALDEMIR MENDES DA SILVA</t>
  </si>
  <si>
    <t xml:space="preserve">60.623.714/0001-88</t>
  </si>
  <si>
    <t xml:space="preserve">Fornecimento de mão de obra para execução de parede em drywall e execução de sanca do Foyer.</t>
  </si>
  <si>
    <t xml:space="preserve">20/07/2026</t>
  </si>
  <si>
    <t xml:space="preserve">20/08/2026</t>
  </si>
  <si>
    <t xml:space="preserve">TOTAL GERAL</t>
  </si>
  <si>
    <t xml:space="preserve">COMPARATIVO DE CENÁRIOS</t>
  </si>
  <si>
    <t xml:space="preserve">Cenário</t>
  </si>
  <si>
    <t xml:space="preserve">Markup</t>
  </si>
  <si>
    <t xml:space="preserve">Total dos 6 contratos</t>
  </si>
  <si>
    <t xml:space="preserve">Acréscimo sobre o original</t>
  </si>
  <si>
    <t xml:space="preserve">Valor original (sem markup)</t>
  </si>
  <si>
    <t xml:space="preserve">Piso da faixa</t>
  </si>
  <si>
    <t xml:space="preserve">Teto da faixa</t>
  </si>
  <si>
    <t xml:space="preserve">APLICADO NA PLANILHA</t>
  </si>
  <si>
    <t xml:space="preserve">ITENS CONSOLIDADOS — TODOS OS CONTRATOS</t>
  </si>
  <si>
    <t xml:space="preserve">Tabela mestre. Quantidade e valor unitário original (azul) são os únicos valores digitados; todo o resto é fórmula. Para incluir novos contratos, acrescente linhas ao final desta aba.</t>
  </si>
  <si>
    <t xml:space="preserve">Unid. construtiva</t>
  </si>
  <si>
    <t xml:space="preserve">Origem</t>
  </si>
  <si>
    <t xml:space="preserve">Data do aditivo</t>
  </si>
  <si>
    <t xml:space="preserve">Referência</t>
  </si>
  <si>
    <t xml:space="preserve">Código</t>
  </si>
  <si>
    <t xml:space="preserve">Descrição</t>
  </si>
  <si>
    <t xml:space="preserve">Un.</t>
  </si>
  <si>
    <t xml:space="preserve">Quantidade</t>
  </si>
  <si>
    <t xml:space="preserve">Vl. unit. original</t>
  </si>
  <si>
    <t xml:space="preserve">Total original</t>
  </si>
  <si>
    <t xml:space="preserve">Vl. unit. +35%</t>
  </si>
  <si>
    <t xml:space="preserve">Vl. unit. +40%</t>
  </si>
  <si>
    <t xml:space="preserve">Vl. unit. aplicado</t>
  </si>
  <si>
    <t xml:space="preserve">5 - Foyer e restaurante</t>
  </si>
  <si>
    <t xml:space="preserve">Inicial</t>
  </si>
  <si>
    <t xml:space="preserve">00.001.001.001</t>
  </si>
  <si>
    <t xml:space="preserve">80285</t>
  </si>
  <si>
    <t xml:space="preserve">Estrutura metálica, escoramento e telhado doca</t>
  </si>
  <si>
    <t xml:space="preserve">vb</t>
  </si>
  <si>
    <t xml:space="preserve">Aditivo 1</t>
  </si>
  <si>
    <t xml:space="preserve">31/03/2026</t>
  </si>
  <si>
    <t xml:space="preserve">00.001.001.002</t>
  </si>
  <si>
    <t xml:space="preserve">Execução de cobertura lateral de 344,35 m², incluindo montagem da estrutura metálica, instalação de telhas com rufos e calhas. Aplicação de fundo anti ferrugem em todas as peças.</t>
  </si>
  <si>
    <t xml:space="preserve">00.001.001.003</t>
  </si>
  <si>
    <t xml:space="preserve">Execução de cobertura lateral de 212 m², parte métrica montada com rufos e calhas, incluindo remoção de 02 bicos metálicos. Aplicação de fundo anti ferrugem em todas as peças.</t>
  </si>
  <si>
    <t xml:space="preserve">00.001.001.004</t>
  </si>
  <si>
    <t xml:space="preserve">Remoção de estrutura metálica com fachada em ACM, remoção completa de letreiro, ACM e estrutura metálica.</t>
  </si>
  <si>
    <t xml:space="preserve">Aditivo 2</t>
  </si>
  <si>
    <t xml:space="preserve">03/07/2026</t>
  </si>
  <si>
    <t xml:space="preserve">00.001.001.005</t>
  </si>
  <si>
    <t xml:space="preserve">Execução de cobertura metálica para telhado tipo shingle, incluindo adequação e tratamento anticorrosivo da estrutura, fechamento com telha de zinco, instalação de rufos, desmontagem de estrutura metálica e fabricação de suporte metálico.</t>
  </si>
  <si>
    <t xml:space="preserve">00.001.001.006</t>
  </si>
  <si>
    <t xml:space="preserve">Ajuste na calha do Hermes; foi feita uma nova dobragem na calha.</t>
  </si>
  <si>
    <t xml:space="preserve">00.001.001.007</t>
  </si>
  <si>
    <t xml:space="preserve">Execução do fechamento lateral centro de eventos.</t>
  </si>
  <si>
    <t xml:space="preserve">00.001.001.008</t>
  </si>
  <si>
    <t xml:space="preserve">Preparação das terças para receber uma nova calha, execução de rufo entre o Vivace e Maestra.</t>
  </si>
  <si>
    <t xml:space="preserve">Aditivo 3</t>
  </si>
  <si>
    <t xml:space="preserve">28/07/2026</t>
  </si>
  <si>
    <t xml:space="preserve">00.001.001.009</t>
  </si>
  <si>
    <t xml:space="preserve">Fabricação e instalação de 60 m de calha — Maestra.</t>
  </si>
  <si>
    <t xml:space="preserve">00.001.001.010</t>
  </si>
  <si>
    <t xml:space="preserve">Fabricação e instalação de 58,00 metros lineares de rufo, incluindo vedação dupla entre a laje destinada aos aparelhos de ar-condicionado e a cobertura em telhas shingle.</t>
  </si>
  <si>
    <t xml:space="preserve">00.001.001.011</t>
  </si>
  <si>
    <t xml:space="preserve">Desmonte da estrutura metálica existente com cobertura em acrílico, montagem da nova estrutura metálica para instalação da cobertura em telhas shingle, montagem da estrutura metálica de apoio para instalação dos vidros.</t>
  </si>
  <si>
    <t xml:space="preserve">00.001.001.012</t>
  </si>
  <si>
    <t xml:space="preserve">Ampliação da estrutura metálica na região do bico da cobertura para adequação às telhas shingle.</t>
  </si>
  <si>
    <t xml:space="preserve">00.001.001.013</t>
  </si>
  <si>
    <t xml:space="preserve">Ampliação do beiral da cobertura em 0,70 m ao longo de 60,00 metros lineares, totalizando 42,00 m² de área adicional de cobertura, incluindo os ajustes necessários no beiral.</t>
  </si>
  <si>
    <t xml:space="preserve">4 - Centro de eventos</t>
  </si>
  <si>
    <t xml:space="preserve">00.000.001.001</t>
  </si>
  <si>
    <t xml:space="preserve">80407</t>
  </si>
  <si>
    <t xml:space="preserve">Piso de concreto desempenado</t>
  </si>
  <si>
    <t xml:space="preserve">m²</t>
  </si>
  <si>
    <t xml:space="preserve">00.000.001.002</t>
  </si>
  <si>
    <t xml:space="preserve">80408</t>
  </si>
  <si>
    <t xml:space="preserve">Piso de concreto polido</t>
  </si>
  <si>
    <t xml:space="preserve">80321</t>
  </si>
  <si>
    <t xml:space="preserve">00.002.001.001</t>
  </si>
  <si>
    <t xml:space="preserve">24/07/2026</t>
  </si>
  <si>
    <t xml:space="preserve">80388</t>
  </si>
  <si>
    <t xml:space="preserve">Execução de parede em drywall, composta por estrutura simples em perfis metálicos galvanizados, com fechamento em chapas ST, incluindo montagem, fixação e acabamentos necessários.</t>
  </si>
  <si>
    <t xml:space="preserve">80362</t>
  </si>
  <si>
    <t xml:space="preserve">Execução de requadros em gesso acartonado.</t>
  </si>
  <si>
    <t xml:space="preserve">m</t>
  </si>
  <si>
    <t xml:space="preserve">Execução de forro em gesso acartonado.</t>
  </si>
  <si>
    <t xml:space="preserve">Execução de paredes em Steelframe com MDF.</t>
  </si>
  <si>
    <t xml:space="preserve">80409</t>
  </si>
  <si>
    <t xml:space="preserve">Execução de piso fulget.</t>
  </si>
  <si>
    <t xml:space="preserve">80391</t>
  </si>
  <si>
    <t xml:space="preserve">Execução do revestimento em ACM na região do porte-cochère do Centro de Eventos do Hotel Recanto.</t>
  </si>
  <si>
    <t xml:space="preserve">17/08/2026</t>
  </si>
  <si>
    <t xml:space="preserve">Execução do painel de 60x90 cm sobre a porta do Centro de Eventos, execução de forro em ACM com dimensões de 50x2,40 m, fechamento da porta com dimensões de 4,80x2,40 m e execução das divisórias dos banheiros.</t>
  </si>
  <si>
    <t xml:space="preserve">80309</t>
  </si>
  <si>
    <t xml:space="preserve">Execução de parede em gesso acartonado (drywall), compreendendo o fornecimento e montagem da estrutura metálica de perfilação, instalação de isolamento em lã acústica e fixação das placas de gesso acartonado.</t>
  </si>
  <si>
    <t xml:space="preserve">80319</t>
  </si>
  <si>
    <t xml:space="preserve">Execução de sanca em gesso acartonado.</t>
  </si>
  <si>
    <t xml:space="preserve">00.002.001.002</t>
  </si>
  <si>
    <t xml:space="preserve">Desmanche de forro em gesso acartonado na região do Foyer.</t>
  </si>
  <si>
    <t xml:space="preserve">00.002.001.003</t>
  </si>
  <si>
    <t xml:space="preserve">Execução de forro em gesso acartonado, incluindo execução de sanca.</t>
  </si>
  <si>
    <t xml:space="preserve">00.002.001.004</t>
  </si>
  <si>
    <t xml:space="preserve">80287</t>
  </si>
  <si>
    <t xml:space="preserve">Execução de fechamento do portal do elevador.</t>
  </si>
  <si>
    <t xml:space="preserve">unid</t>
  </si>
  <si>
    <t xml:space="preserve">19/08/2026</t>
  </si>
  <si>
    <t xml:space="preserve">00.002.001.005</t>
  </si>
  <si>
    <t xml:space="preserve">80274</t>
  </si>
  <si>
    <t xml:space="preserve">Fechamento em glassrock, parede externa do Foyer da Torre.</t>
  </si>
  <si>
    <t xml:space="preserve">CT/149 — 53.000.661 WAGNER LUIZ BACKES MACHADO</t>
  </si>
  <si>
    <t xml:space="preserve">Arquivo de origem: CT149__Wagner_Backes__R00.pdf  |  Obra: 40200 - Empreita Recanto Cataratas Thermas Resort</t>
  </si>
  <si>
    <t xml:space="preserve">CNPJ do fornecedor</t>
  </si>
  <si>
    <t xml:space="preserve">Data do contrato</t>
  </si>
  <si>
    <t xml:space="preserve">17/12/2025</t>
  </si>
  <si>
    <t xml:space="preserve">Vigência</t>
  </si>
  <si>
    <t xml:space="preserve">12/12/2025 a 12/03/2026</t>
  </si>
  <si>
    <t xml:space="preserve">Tipo de contrato</t>
  </si>
  <si>
    <t xml:space="preserve">4 - SEM RETENÇÃO</t>
  </si>
  <si>
    <t xml:space="preserve">Objeto</t>
  </si>
  <si>
    <t xml:space="preserve">Impostos / retenção</t>
  </si>
  <si>
    <t xml:space="preserve">INSS SOBRE AUTÔNOMO — apresentar guias 0% * 0% sobre mão de obra</t>
  </si>
  <si>
    <t xml:space="preserve">ADITIVOS</t>
  </si>
  <si>
    <t xml:space="preserve">Aditivo 1 — 31/03/2026</t>
  </si>
  <si>
    <t xml:space="preserve">Cobertura metálica, montagem e instalação de telhas, incluso rufos e calhas. Remoção completa de letreiro, ACM e estrutura metálica. Aplicação de fundo anti ferrugem em todas as peças (não estão inclusos itens abrasivos, somente mão de obra). Será necessário o uso de Munck.</t>
  </si>
  <si>
    <t xml:space="preserve">Aditivo 2 — 03/07/2026</t>
  </si>
  <si>
    <t xml:space="preserve">Cobertura metálica com área aproximada de 185 m² para telhado tipo shingle, incluindo limpeza e aplicação de fundo anti ferrugem na estrutura metálica, ampliação da estrutura, fechamento com 153 m de telha de zinco, instalação de 221 m de rufos (entre pingadeiras e algerosas), desmontagem de estrutura metálica e revestimento em ACM, e fabricação e instalação de suporte metálico para bobina de fio.</t>
  </si>
  <si>
    <t xml:space="preserve">Aditivo 3 — 28/07/2026</t>
  </si>
  <si>
    <t xml:space="preserve">Fabricação e instalação de 60,00 m lineares de calha mestra e 58,00 m lineares de rufo, incluindo vedação dupla entre a laje destinada aos aparelhos de ar-condicionado e a cobertura em telhas shingle. Compreende ainda o desmonte da estrutura metálica existente com cobertura em acrílico, montagem da nova estrutura, montagem da estrutura de apoio para instalação dos vidros, ampliação na região do bico da cobertura e ampliação do beiral em 0,70 m ao longo de 60,00 m (42,00 m² adicionais).</t>
  </si>
  <si>
    <t xml:space="preserve">Total dos itens iniciais</t>
  </si>
  <si>
    <t xml:space="preserve">Total do aditivo 1</t>
  </si>
  <si>
    <t xml:space="preserve">Total do aditivo 2</t>
  </si>
  <si>
    <t xml:space="preserve">Total do aditivo 3</t>
  </si>
  <si>
    <t xml:space="preserve">TOTAL DO CONTRATO CT/149</t>
  </si>
  <si>
    <t xml:space="preserve">Acréscimo gerado pelo markup aplicado</t>
  </si>
  <si>
    <t xml:space="preserve">CT/164 — CAM EMPREITEIRA DE MAO DE OBRA LTDA</t>
  </si>
  <si>
    <t xml:space="preserve">Arquivo de origem: CT164__CAM_PISOS__R00.pdf  |  Obra: 40200 - Empreita Recanto Cataratas Thermas Resort</t>
  </si>
  <si>
    <t xml:space="preserve">27/02/2026</t>
  </si>
  <si>
    <t xml:space="preserve">03/01/2026 a 30/06/2026</t>
  </si>
  <si>
    <t xml:space="preserve">INSS S/PROLABORE — apresentar guias 100% * 0% sobre mão de obra</t>
  </si>
  <si>
    <t xml:space="preserve">Aditivo 1 — 24/07/2026</t>
  </si>
  <si>
    <t xml:space="preserve">Execução de piso polido: 1.393,32 m²; execução de piso desempenado: 1.982,43 m².</t>
  </si>
  <si>
    <t xml:space="preserve">TOTAL DO CONTRATO CT/164</t>
  </si>
  <si>
    <t xml:space="preserve">CT/196 — ROSENILDE RODRIGUES LINDOLFO DE SOUZA</t>
  </si>
  <si>
    <t xml:space="preserve">Arquivo de origem: CT196__Fabio_Gesso__R00.pdf  |  Obra: 40200 - Empreita Recanto Cataratas Thermas Resort</t>
  </si>
  <si>
    <t xml:space="preserve">27/05/2026</t>
  </si>
  <si>
    <t xml:space="preserve">18/05/2026 a 20/06/2026</t>
  </si>
  <si>
    <t xml:space="preserve">2 - Somente mão de obra sem retenção de INSS e ISSQN</t>
  </si>
  <si>
    <t xml:space="preserve">INSS SOBRE SALÁRIO 100% * 11% e ISSQN 100% * 5% sobre mão de obra</t>
  </si>
  <si>
    <t xml:space="preserve">Aditivo 1 — 03/07/2026</t>
  </si>
  <si>
    <t xml:space="preserve">Aditivo referente a mais 700 m² de parede dupla de drywall.</t>
  </si>
  <si>
    <t xml:space="preserve">Aditivo 2 — 31/07/2026</t>
  </si>
  <si>
    <t xml:space="preserve">Execução de forro em gesso acartonado, execução de requadros em gesso acartonado e execução de paredes em Steelframe.</t>
  </si>
  <si>
    <t xml:space="preserve">TOTAL DO CONTRATO CT/196</t>
  </si>
  <si>
    <t xml:space="preserve">CT/212 — AGR DELAVI PISOS LTDA</t>
  </si>
  <si>
    <t xml:space="preserve">Arquivo de origem: CT212__AGR_Delavi__R00.pdf  |  Obra: 40200 - Empreita Recanto Cataratas Thermas Resort</t>
  </si>
  <si>
    <t xml:space="preserve">08/07/2026 a 08/08/2026</t>
  </si>
  <si>
    <t xml:space="preserve">TOTAL DO CONTRATO CT/212</t>
  </si>
  <si>
    <t xml:space="preserve">CT/216 — LOURIVAL BONFIM 66371490982</t>
  </si>
  <si>
    <t xml:space="preserve">Arquivo de origem: CT216__Lourival_Bonfim__R00.pdf  |  Obra: 40200 - Empreita Recanto Cataratas Thermas Resort</t>
  </si>
  <si>
    <t xml:space="preserve">15/07/2026</t>
  </si>
  <si>
    <t xml:space="preserve">25/06/2026 a 31/07/2026</t>
  </si>
  <si>
    <t xml:space="preserve">Aditivo 1 — 17/08/2026</t>
  </si>
  <si>
    <t xml:space="preserve">Aumento do escopo de serviço. Materiais comprados pelo Lourival; execução do painel 60x90 em cima da porta do Centro de Eventos, execução de forro em ACM 50x2,40, fechamento da porta de 4,80x2,40 e execução das divisórias do banheiro.</t>
  </si>
  <si>
    <t xml:space="preserve">TOTAL DO CONTRATO CT/216</t>
  </si>
  <si>
    <t xml:space="preserve">CT/217 — 60.623.714 VALDEMIR MENDES DA SILVA</t>
  </si>
  <si>
    <t xml:space="preserve">Arquivo de origem: CT217__Valdemir_Mendes_da_Silva__R00.pdf  |  Obra: 40200 - Empreita Recanto Cataratas Thermas Resort</t>
  </si>
  <si>
    <t xml:space="preserve">30/07/2026</t>
  </si>
  <si>
    <t xml:space="preserve">20/07/2026 a 20/08/2026</t>
  </si>
  <si>
    <t xml:space="preserve">Aditivo 1 — 19/08/2026</t>
  </si>
  <si>
    <t xml:space="preserve">Aditivo referente à execução de parede, forro e fechamento em glassrock.</t>
  </si>
  <si>
    <t xml:space="preserve">TOTAL DO CONTRATO CT/217</t>
  </si>
  <si>
    <t xml:space="preserve">CONFERÊNCIA — CALCULADO x IMPRESSO NO PDF</t>
  </si>
  <si>
    <t xml:space="preserve">Confronta a soma dos itens digitados nesta planilha com os valores de contrato impressos em cada PDF de origem. Todas as linhas devem estar OK.</t>
  </si>
  <si>
    <t xml:space="preserve">Arquivo de origem (PDF)</t>
  </si>
  <si>
    <t xml:space="preserve">Item conferido</t>
  </si>
  <si>
    <t xml:space="preserve">Calculado na planilha</t>
  </si>
  <si>
    <t xml:space="preserve">Impresso no PDF</t>
  </si>
  <si>
    <t xml:space="preserve">Diferença</t>
  </si>
  <si>
    <t xml:space="preserve">Status</t>
  </si>
  <si>
    <t xml:space="preserve">CT149__Wagner_Backes__R00.pdf</t>
  </si>
  <si>
    <t xml:space="preserve">Valor de aditivos</t>
  </si>
  <si>
    <t xml:space="preserve">Valor do contrato</t>
  </si>
  <si>
    <t xml:space="preserve">CT164__CAM_PISOS__R00.pdf</t>
  </si>
  <si>
    <t xml:space="preserve">CT196__Fabio_Gesso__R00.pdf</t>
  </si>
  <si>
    <t xml:space="preserve">CT212__AGR_Delavi__R00.pdf</t>
  </si>
  <si>
    <t xml:space="preserve">CT216__Lourival_Bonfim__R00.pdf</t>
  </si>
  <si>
    <t xml:space="preserve">CT217__Valdemir_Mendes_da_Silva__R00.pdf</t>
  </si>
  <si>
    <t xml:space="preserve">RESULTADO DA CONFERÊNCIA</t>
  </si>
  <si>
    <t xml:space="preserve">Observação: o arquivo CT196__Fabio_Gesso__R00.pdf traz como razão social do fornecedor ROSENILDE RODRIGUES LINDOLFO DE SOUZA (CNPJ 42.578.638/0001-54). O nome do arquivo e a razão social do contrato não coincidem — confirmar qual deve constar no cadastro.</t>
  </si>
</sst>
</file>

<file path=xl/styles.xml><?xml version="1.0" encoding="utf-8"?>
<styleSheet xmlns="http://schemas.openxmlformats.org/spreadsheetml/2006/main">
  <numFmts count="6">
    <numFmt numFmtId="164" formatCode="General"/>
    <numFmt numFmtId="165" formatCode="0.0%"/>
    <numFmt numFmtId="166" formatCode="0"/>
    <numFmt numFmtId="167" formatCode="&quot;R$ &quot;#,##0.00"/>
    <numFmt numFmtId="168" formatCode="#,##0.0000"/>
    <numFmt numFmtId="169" formatCode="&quot;R$ &quot;#,##0.0000"/>
  </numFmts>
  <fonts count="2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BFD3E6"/>
      <name val="Arial"/>
      <family val="0"/>
      <charset val="1"/>
    </font>
    <font>
      <b val="true"/>
      <sz val="11"/>
      <color rgb="FF2E2E2E"/>
      <name val="Arial"/>
      <family val="0"/>
      <charset val="1"/>
    </font>
    <font>
      <sz val="10"/>
      <color rgb="FF000000"/>
      <name val="Arial"/>
      <family val="0"/>
      <charset val="1"/>
    </font>
    <font>
      <sz val="10"/>
      <color rgb="FF1155CC"/>
      <name val="Arial"/>
      <family val="0"/>
      <charset val="1"/>
    </font>
    <font>
      <i val="true"/>
      <sz val="9"/>
      <color rgb="FF595959"/>
      <name val="Arial"/>
      <family val="0"/>
      <charset val="1"/>
    </font>
    <font>
      <b val="true"/>
      <sz val="10"/>
      <color rgb="FF000000"/>
      <name val="Arial"/>
      <family val="0"/>
      <charset val="1"/>
    </font>
    <font>
      <b val="true"/>
      <sz val="10"/>
      <color rgb="FF1155CC"/>
      <name val="Arial"/>
      <family val="0"/>
      <charset val="1"/>
    </font>
    <font>
      <sz val="9"/>
      <color rgb="FF595959"/>
      <name val="Arial"/>
      <family val="0"/>
      <charset val="1"/>
    </font>
    <font>
      <b val="true"/>
      <sz val="10"/>
      <color rgb="FF2E2E2E"/>
      <name val="Arial"/>
      <family val="0"/>
      <charset val="1"/>
    </font>
    <font>
      <b val="true"/>
      <sz val="10"/>
      <color rgb="FF15803D"/>
      <name val="Arial"/>
      <family val="0"/>
      <charset val="1"/>
    </font>
    <font>
      <b val="true"/>
      <sz val="11"/>
      <color rgb="FF15803D"/>
      <name val="Arial"/>
      <family val="0"/>
      <charset val="1"/>
    </font>
    <font>
      <b val="true"/>
      <sz val="10"/>
      <color rgb="FFFFFFFF"/>
      <name val="Arial"/>
      <family val="0"/>
      <charset val="1"/>
    </font>
    <font>
      <sz val="10"/>
      <color rgb="FF2E2E2E"/>
      <name val="Arial"/>
      <family val="0"/>
      <charset val="1"/>
    </font>
    <font>
      <sz val="10"/>
      <color rgb="FF15803D"/>
      <name val="Arial"/>
      <family val="0"/>
      <charset val="1"/>
    </font>
    <font>
      <b val="true"/>
      <sz val="12"/>
      <color rgb="FF2E2E2E"/>
      <name val="Arial"/>
      <family val="0"/>
      <charset val="1"/>
    </font>
    <font>
      <b val="true"/>
      <sz val="9"/>
      <color rgb="FF000000"/>
      <name val="Arial"/>
      <family val="0"/>
      <charset val="1"/>
    </font>
    <font>
      <sz val="9"/>
      <color rgb="FF000000"/>
      <name val="Arial"/>
      <family val="0"/>
      <charset val="1"/>
    </font>
    <font>
      <b val="true"/>
      <i val="true"/>
      <sz val="10"/>
      <color rgb="FF000000"/>
      <name val="Arial"/>
      <family val="0"/>
      <charset val="1"/>
    </font>
    <font>
      <b val="true"/>
      <sz val="11"/>
      <color rgb="FF000000"/>
      <name val="Arial"/>
      <family val="0"/>
      <charset val="1"/>
    </font>
    <font>
      <b val="true"/>
      <sz val="11"/>
      <color rgb="FFFFFFFF"/>
      <name val="Arial"/>
      <family val="0"/>
      <charset val="1"/>
    </font>
    <font>
      <i val="true"/>
      <sz val="9"/>
      <color rgb="FFC00000"/>
      <name val="Arial"/>
      <family val="0"/>
      <charset val="1"/>
    </font>
    <font>
      <sz val="10"/>
      <name val="Arial"/>
      <family val="2"/>
    </font>
  </fonts>
  <fills count="9">
    <fill>
      <patternFill patternType="none"/>
    </fill>
    <fill>
      <patternFill patternType="gray125"/>
    </fill>
    <fill>
      <patternFill patternType="solid">
        <fgColor rgb="FF2E2E2E"/>
        <bgColor rgb="FF4A4A4A"/>
      </patternFill>
    </fill>
    <fill>
      <patternFill patternType="solid">
        <fgColor rgb="FFFFC91E"/>
        <bgColor rgb="FFFF9900"/>
      </patternFill>
    </fill>
    <fill>
      <patternFill patternType="solid">
        <fgColor rgb="FFFFF8E1"/>
        <bgColor rgb="FFF4F5F7"/>
      </patternFill>
    </fill>
    <fill>
      <patternFill patternType="solid">
        <fgColor rgb="FF4A4A4A"/>
        <bgColor rgb="FF595959"/>
      </patternFill>
    </fill>
    <fill>
      <patternFill patternType="solid">
        <fgColor rgb="FFF4F5F7"/>
        <bgColor rgb="FFE7F5EC"/>
      </patternFill>
    </fill>
    <fill>
      <patternFill patternType="solid">
        <fgColor rgb="FFE8E8E8"/>
        <bgColor rgb="FFE7F5EC"/>
      </patternFill>
    </fill>
    <fill>
      <patternFill patternType="solid">
        <fgColor rgb="FFE7F5EC"/>
        <bgColor rgb="FFF4F5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5" shrinkToFit="false"/>
      <protection locked="true" hidden="false"/>
    </xf>
    <xf numFmtId="164" fontId="5" fillId="2" borderId="0" xfId="0" applyFont="true" applyBorder="true" applyAlignment="true" applyProtection="false">
      <alignment horizontal="general" vertical="center" textRotation="0" wrapText="false" indent="15"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5" fontId="11" fillId="3"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4" fontId="13" fillId="3" borderId="1" xfId="0" applyFont="true" applyBorder="true" applyAlignment="true" applyProtection="false">
      <alignment horizontal="center" vertical="bottom" textRotation="0" wrapText="false" indent="0" shrinkToFit="false"/>
      <protection locked="true" hidden="false"/>
    </xf>
    <xf numFmtId="164" fontId="13" fillId="4"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right" vertical="center" textRotation="0" wrapText="false" indent="0" shrinkToFit="false"/>
      <protection locked="true" hidden="false"/>
    </xf>
    <xf numFmtId="165" fontId="15" fillId="3" borderId="1" xfId="0" applyFont="true" applyBorder="true" applyAlignment="true" applyProtection="false">
      <alignment horizontal="center" vertical="bottom" textRotation="0" wrapText="fals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top" textRotation="0" wrapText="false" indent="0" shrinkToFit="false"/>
      <protection locked="true" hidden="false"/>
    </xf>
    <xf numFmtId="164" fontId="17" fillId="0" borderId="1" xfId="0" applyFont="true" applyBorder="true" applyAlignment="true" applyProtection="false">
      <alignment horizontal="general" vertical="top"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center" vertical="top" textRotation="0" wrapText="false" indent="0" shrinkToFit="false"/>
      <protection locked="true" hidden="false"/>
    </xf>
    <xf numFmtId="166" fontId="18" fillId="0" borderId="1" xfId="0" applyFont="true" applyBorder="true" applyAlignment="true" applyProtection="false">
      <alignment horizontal="center" vertical="top" textRotation="0" wrapText="false" indent="0" shrinkToFit="false"/>
      <protection locked="true" hidden="false"/>
    </xf>
    <xf numFmtId="167" fontId="18" fillId="0"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right" vertical="center" textRotation="0" wrapText="false" indent="0" shrinkToFit="false"/>
      <protection locked="true" hidden="false"/>
    </xf>
    <xf numFmtId="166" fontId="6" fillId="3" borderId="1" xfId="0" applyFont="true" applyBorder="true" applyAlignment="true" applyProtection="false">
      <alignment horizontal="center" vertical="center" textRotation="0" wrapText="false" indent="0" shrinkToFit="false"/>
      <protection locked="true" hidden="false"/>
    </xf>
    <xf numFmtId="167" fontId="6" fillId="3" borderId="1"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7" fillId="0" borderId="1" xfId="0" applyFont="true" applyBorder="true" applyAlignment="true" applyProtection="false">
      <alignment horizontal="center" vertical="bottom" textRotation="0" wrapText="false" indent="0" shrinkToFit="false"/>
      <protection locked="true" hidden="false"/>
    </xf>
    <xf numFmtId="167" fontId="17" fillId="0" borderId="1" xfId="0" applyFont="true" applyBorder="true" applyAlignment="false" applyProtection="false">
      <alignment horizontal="general" vertical="bottom" textRotation="0" wrapText="false" indent="0" shrinkToFit="false"/>
      <protection locked="true" hidden="false"/>
    </xf>
    <xf numFmtId="165" fontId="18" fillId="0" borderId="1" xfId="0" applyFont="true" applyBorder="true" applyAlignment="true" applyProtection="false">
      <alignment horizontal="center"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5" fontId="14" fillId="3" borderId="1" xfId="0" applyFont="true" applyBorder="true" applyAlignment="true" applyProtection="false">
      <alignment horizontal="center" vertical="bottom" textRotation="0" wrapText="false" indent="0" shrinkToFit="false"/>
      <protection locked="true" hidden="false"/>
    </xf>
    <xf numFmtId="167" fontId="13" fillId="3"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center"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8" fontId="8" fillId="0" borderId="1" xfId="0" applyFont="true" applyBorder="true" applyAlignment="true" applyProtection="false">
      <alignment horizontal="general" vertical="top" textRotation="0" wrapText="false" indent="0" shrinkToFit="false"/>
      <protection locked="true" hidden="false"/>
    </xf>
    <xf numFmtId="169" fontId="8" fillId="0" borderId="1" xfId="0" applyFont="true" applyBorder="true" applyAlignment="true" applyProtection="false">
      <alignment horizontal="general" vertical="top" textRotation="0" wrapText="false" indent="0" shrinkToFit="false"/>
      <protection locked="true" hidden="false"/>
    </xf>
    <xf numFmtId="167" fontId="0" fillId="0" borderId="1" xfId="0" applyFont="false" applyBorder="true" applyAlignment="true" applyProtection="false">
      <alignment horizontal="general" vertical="top" textRotation="0" wrapText="false" indent="0" shrinkToFit="false"/>
      <protection locked="true" hidden="false"/>
    </xf>
    <xf numFmtId="169" fontId="0" fillId="0" borderId="1" xfId="0" applyFont="false" applyBorder="true" applyAlignment="true" applyProtection="false">
      <alignment horizontal="general" vertical="top" textRotation="0" wrapText="false" indent="0" shrinkToFit="false"/>
      <protection locked="true" hidden="false"/>
    </xf>
    <xf numFmtId="164" fontId="0" fillId="4" borderId="1" xfId="0" applyFont="true" applyBorder="true" applyAlignment="true" applyProtection="false">
      <alignment horizontal="general" vertical="top" textRotation="0" wrapText="false" indent="0" shrinkToFit="false"/>
      <protection locked="true" hidden="false"/>
    </xf>
    <xf numFmtId="164" fontId="0" fillId="4" borderId="1" xfId="0" applyFont="true" applyBorder="true" applyAlignment="true" applyProtection="false">
      <alignment horizontal="center" vertical="top" textRotation="0" wrapText="false" indent="0" shrinkToFit="false"/>
      <protection locked="true" hidden="false"/>
    </xf>
    <xf numFmtId="164" fontId="0" fillId="4" borderId="1" xfId="0" applyFont="true" applyBorder="true" applyAlignment="true" applyProtection="false">
      <alignment horizontal="general" vertical="top" textRotation="0" wrapText="true" indent="0" shrinkToFit="false"/>
      <protection locked="true" hidden="false"/>
    </xf>
    <xf numFmtId="168" fontId="8" fillId="4" borderId="1" xfId="0" applyFont="true" applyBorder="true" applyAlignment="true" applyProtection="false">
      <alignment horizontal="general" vertical="top" textRotation="0" wrapText="false" indent="0" shrinkToFit="false"/>
      <protection locked="true" hidden="false"/>
    </xf>
    <xf numFmtId="169" fontId="8" fillId="4" borderId="1" xfId="0" applyFont="true" applyBorder="true" applyAlignment="true" applyProtection="false">
      <alignment horizontal="general" vertical="top" textRotation="0" wrapText="false" indent="0" shrinkToFit="false"/>
      <protection locked="true" hidden="false"/>
    </xf>
    <xf numFmtId="167" fontId="0" fillId="4" borderId="1" xfId="0" applyFont="false" applyBorder="true" applyAlignment="true" applyProtection="false">
      <alignment horizontal="general" vertical="top" textRotation="0" wrapText="false" indent="0" shrinkToFit="false"/>
      <protection locked="true" hidden="false"/>
    </xf>
    <xf numFmtId="169" fontId="0" fillId="4" borderId="1" xfId="0" applyFont="false" applyBorder="true" applyAlignment="true" applyProtection="false">
      <alignment horizontal="general" vertical="top" textRotation="0" wrapText="false" indent="0" shrinkToFit="false"/>
      <protection locked="true" hidden="false"/>
    </xf>
    <xf numFmtId="167"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20" fillId="6" borderId="1" xfId="0" applyFont="true" applyBorder="true" applyAlignment="true" applyProtection="false">
      <alignment horizontal="general" vertical="center" textRotation="0" wrapText="false" indent="0" shrinkToFit="false"/>
      <protection locked="true" hidden="false"/>
    </xf>
    <xf numFmtId="164" fontId="21" fillId="0" borderId="0" xfId="0" applyFont="true" applyBorder="true" applyAlignment="true" applyProtection="false">
      <alignment horizontal="general" vertical="center" textRotation="0" wrapText="true" indent="0" shrinkToFit="false"/>
      <protection locked="true" hidden="false"/>
    </xf>
    <xf numFmtId="164" fontId="20" fillId="4" borderId="1" xfId="0" applyFont="true" applyBorder="true" applyAlignment="true" applyProtection="false">
      <alignment horizontal="general" vertical="top" textRotation="0" wrapText="fals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center" vertical="top" textRotation="0" wrapText="false" indent="0" shrinkToFit="false"/>
      <protection locked="true" hidden="false"/>
    </xf>
    <xf numFmtId="164" fontId="18" fillId="0" borderId="1" xfId="0" applyFont="true" applyBorder="true" applyAlignment="true" applyProtection="false">
      <alignment horizontal="general" vertical="top" textRotation="0" wrapText="fals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8" fontId="18" fillId="0" borderId="1" xfId="0" applyFont="true" applyBorder="true" applyAlignment="true" applyProtection="false">
      <alignment horizontal="general" vertical="top" textRotation="0" wrapText="false" indent="0" shrinkToFit="false"/>
      <protection locked="true" hidden="false"/>
    </xf>
    <xf numFmtId="169" fontId="18" fillId="0" borderId="1" xfId="0" applyFont="true" applyBorder="true" applyAlignment="true" applyProtection="false">
      <alignment horizontal="general" vertical="top" textRotation="0" wrapText="false" indent="0" shrinkToFit="false"/>
      <protection locked="true" hidden="false"/>
    </xf>
    <xf numFmtId="164" fontId="10" fillId="7" borderId="1" xfId="0" applyFont="true" applyBorder="true" applyAlignment="true" applyProtection="false">
      <alignment horizontal="right" vertical="center" textRotation="0" wrapText="false" indent="0" shrinkToFit="false"/>
      <protection locked="true" hidden="false"/>
    </xf>
    <xf numFmtId="167" fontId="10" fillId="7" borderId="1" xfId="0" applyFont="true" applyBorder="true" applyAlignment="false" applyProtection="false">
      <alignment horizontal="general" vertical="bottom" textRotation="0" wrapText="false" indent="0" shrinkToFit="false"/>
      <protection locked="true" hidden="false"/>
    </xf>
    <xf numFmtId="164" fontId="10" fillId="7" borderId="1" xfId="0" applyFont="true" applyBorder="true" applyAlignment="false" applyProtection="false">
      <alignment horizontal="general" vertical="bottom" textRotation="0" wrapText="false" indent="0" shrinkToFit="false"/>
      <protection locked="true" hidden="false"/>
    </xf>
    <xf numFmtId="164" fontId="18" fillId="4" borderId="1" xfId="0" applyFont="true" applyBorder="true" applyAlignment="true" applyProtection="false">
      <alignment horizontal="center" vertical="top" textRotation="0" wrapText="false" indent="0" shrinkToFit="false"/>
      <protection locked="true" hidden="false"/>
    </xf>
    <xf numFmtId="164" fontId="18" fillId="4" borderId="1" xfId="0" applyFont="true" applyBorder="true" applyAlignment="true" applyProtection="false">
      <alignment horizontal="general" vertical="top" textRotation="0" wrapText="false" indent="0" shrinkToFit="false"/>
      <protection locked="true" hidden="false"/>
    </xf>
    <xf numFmtId="164" fontId="18" fillId="4" borderId="1" xfId="0" applyFont="true" applyBorder="true" applyAlignment="true" applyProtection="false">
      <alignment horizontal="general" vertical="top" textRotation="0" wrapText="true" indent="0" shrinkToFit="false"/>
      <protection locked="true" hidden="false"/>
    </xf>
    <xf numFmtId="168" fontId="18" fillId="4" borderId="1" xfId="0" applyFont="true" applyBorder="true" applyAlignment="true" applyProtection="false">
      <alignment horizontal="general" vertical="top" textRotation="0" wrapText="false" indent="0" shrinkToFit="false"/>
      <protection locked="true" hidden="false"/>
    </xf>
    <xf numFmtId="169" fontId="18" fillId="4" borderId="1" xfId="0" applyFont="true" applyBorder="true" applyAlignment="true" applyProtection="false">
      <alignment horizontal="general" vertical="top" textRotation="0" wrapText="false" indent="0" shrinkToFit="false"/>
      <protection locked="true" hidden="false"/>
    </xf>
    <xf numFmtId="167" fontId="18" fillId="4" borderId="1" xfId="0" applyFont="true" applyBorder="true" applyAlignment="true" applyProtection="false">
      <alignment horizontal="general" vertical="top" textRotation="0" wrapText="false" indent="0" shrinkToFit="false"/>
      <protection locked="true" hidden="false"/>
    </xf>
    <xf numFmtId="164" fontId="22" fillId="0" borderId="0" xfId="0" applyFont="true" applyBorder="true" applyAlignment="true" applyProtection="false">
      <alignment horizontal="right" vertical="center" textRotation="0" wrapText="false" indent="0" shrinkToFit="false"/>
      <protection locked="true" hidden="false"/>
    </xf>
    <xf numFmtId="167" fontId="10" fillId="8"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general" vertical="center" textRotation="0" wrapText="false" indent="0" shrinkToFit="false"/>
      <protection locked="true" hidden="false"/>
    </xf>
    <xf numFmtId="167" fontId="18" fillId="0" borderId="1" xfId="0" applyFont="true" applyBorder="true" applyAlignment="true" applyProtection="false">
      <alignment horizontal="general" vertical="center" textRotation="0" wrapText="false" indent="0" shrinkToFit="false"/>
      <protection locked="true" hidden="false"/>
    </xf>
    <xf numFmtId="167" fontId="8" fillId="0" borderId="1" xfId="0" applyFont="true" applyBorder="true" applyAlignment="true" applyProtection="false">
      <alignment horizontal="general" vertical="center" textRotation="0" wrapText="false" indent="0" shrinkToFit="false"/>
      <protection locked="true" hidden="false"/>
    </xf>
    <xf numFmtId="167" fontId="17" fillId="0" borderId="1" xfId="0" applyFont="true" applyBorder="true" applyAlignment="true" applyProtection="false">
      <alignment horizontal="general"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7" fillId="6" borderId="1" xfId="0" applyFont="true" applyBorder="true" applyAlignment="true" applyProtection="false">
      <alignment horizontal="center" vertical="center" textRotation="0" wrapText="false" indent="0" shrinkToFit="false"/>
      <protection locked="true" hidden="false"/>
    </xf>
    <xf numFmtId="164" fontId="17" fillId="6" borderId="1" xfId="0" applyFont="true" applyBorder="true" applyAlignment="true" applyProtection="false">
      <alignment horizontal="general" vertical="center" textRotation="0" wrapText="false" indent="0" shrinkToFit="false"/>
      <protection locked="true" hidden="false"/>
    </xf>
    <xf numFmtId="167" fontId="18" fillId="6" borderId="1" xfId="0" applyFont="true" applyBorder="true" applyAlignment="true" applyProtection="false">
      <alignment horizontal="general" vertical="center" textRotation="0" wrapText="false" indent="0" shrinkToFit="false"/>
      <protection locked="true" hidden="false"/>
    </xf>
    <xf numFmtId="167" fontId="8" fillId="6" borderId="1" xfId="0" applyFont="true" applyBorder="true" applyAlignment="true" applyProtection="false">
      <alignment horizontal="general" vertical="center" textRotation="0" wrapText="false" indent="0" shrinkToFit="false"/>
      <protection locked="true" hidden="false"/>
    </xf>
    <xf numFmtId="167" fontId="17" fillId="6" borderId="1" xfId="0" applyFont="true" applyBorder="true" applyAlignment="true" applyProtection="false">
      <alignment horizontal="general"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2" borderId="1" xfId="0" applyFont="true" applyBorder="true" applyAlignment="true" applyProtection="false">
      <alignment horizontal="center" vertical="bottom" textRotation="0" wrapText="fals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4A4A4A"/>
          <bgColor rgb="FF000000"/>
        </patternFill>
      </fill>
    </dxf>
    <dxf>
      <fill>
        <patternFill patternType="solid">
          <fgColor rgb="FFFFF8E1"/>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1155CC"/>
          <bgColor rgb="FF000000"/>
        </patternFill>
      </fill>
    </dxf>
  </dxfs>
  <colors>
    <indexedColors>
      <rgbColor rgb="FF000000"/>
      <rgbColor rgb="FFFFFFFF"/>
      <rgbColor rgb="FFC00000"/>
      <rgbColor rgb="FF00FF00"/>
      <rgbColor rgb="FF0000FF"/>
      <rgbColor rgb="FFFFFF00"/>
      <rgbColor rgb="FFFF00FF"/>
      <rgbColor rgb="FF00FFFF"/>
      <rgbColor rgb="FF800000"/>
      <rgbColor rgb="FF15803D"/>
      <rgbColor rgb="FF000080"/>
      <rgbColor rgb="FF808000"/>
      <rgbColor rgb="FF800080"/>
      <rgbColor rgb="FF008080"/>
      <rgbColor rgb="FFBFBFBF"/>
      <rgbColor rgb="FF808080"/>
      <rgbColor rgb="FF9999FF"/>
      <rgbColor rgb="FF993366"/>
      <rgbColor rgb="FFFFF8E1"/>
      <rgbColor rgb="FFE7F5EC"/>
      <rgbColor rgb="FF660066"/>
      <rgbColor rgb="FFFF8080"/>
      <rgbColor rgb="FF1155CC"/>
      <rgbColor rgb="FFBFD3E6"/>
      <rgbColor rgb="FF000080"/>
      <rgbColor rgb="FFFF00FF"/>
      <rgbColor rgb="FFFFFF00"/>
      <rgbColor rgb="FF00FFFF"/>
      <rgbColor rgb="FF800080"/>
      <rgbColor rgb="FF800000"/>
      <rgbColor rgb="FF008080"/>
      <rgbColor rgb="FF0000FF"/>
      <rgbColor rgb="FF00CCFF"/>
      <rgbColor rgb="FFF4F5F7"/>
      <rgbColor rgb="FFE8E8E8"/>
      <rgbColor rgb="FFFFFF99"/>
      <rgbColor rgb="FFC7C7C7"/>
      <rgbColor rgb="FFFF99CC"/>
      <rgbColor rgb="FFCC99FF"/>
      <rgbColor rgb="FFFFCC99"/>
      <rgbColor rgb="FF3366FF"/>
      <rgbColor rgb="FF33CCCC"/>
      <rgbColor rgb="FF99CC00"/>
      <rgbColor rgb="FFFFC91E"/>
      <rgbColor rgb="FFFF9900"/>
      <rgbColor rgb="FFFF6600"/>
      <rgbColor rgb="FF595959"/>
      <rgbColor rgb="FF969696"/>
      <rgbColor rgb="FF003366"/>
      <rgbColor rgb="FF339966"/>
      <rgbColor rgb="FF003300"/>
      <rgbColor rgb="FF4A4A4A"/>
      <rgbColor rgb="FF993300"/>
      <rgbColor rgb="FF993366"/>
      <rgbColor rgb="FF333399"/>
      <rgbColor rgb="FF2E2E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91E"/>
    <pageSetUpPr fitToPage="true"/>
  </sheetPr>
  <dimension ref="A1:F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78"/>
    <col collapsed="false" customWidth="true" hidden="false" outlineLevel="0" max="6" min="4" style="0" width="12"/>
  </cols>
  <sheetData>
    <row r="1" customFormat="false" ht="33.75" hidden="false" customHeight="true" outlineLevel="0" collapsed="false">
      <c r="A1" s="1" t="s">
        <v>0</v>
      </c>
      <c r="B1" s="1"/>
      <c r="C1" s="1"/>
      <c r="D1" s="1"/>
      <c r="E1" s="1"/>
      <c r="F1" s="1"/>
    </row>
    <row r="2" customFormat="false" ht="15.75" hidden="false" customHeight="true" outlineLevel="0" collapsed="false">
      <c r="A2" s="2" t="s">
        <v>1</v>
      </c>
      <c r="B2" s="2"/>
      <c r="C2" s="2"/>
      <c r="D2" s="2"/>
      <c r="E2" s="2"/>
      <c r="F2" s="2"/>
    </row>
    <row r="4" customFormat="false" ht="15" hidden="false" customHeight="false" outlineLevel="0" collapsed="false">
      <c r="A4" s="3" t="s">
        <v>2</v>
      </c>
    </row>
    <row r="5" customFormat="false" ht="15" hidden="false" customHeight="false" outlineLevel="0" collapsed="false">
      <c r="A5" s="4" t="s">
        <v>3</v>
      </c>
      <c r="B5" s="5" t="n">
        <v>0.35</v>
      </c>
      <c r="C5" s="6" t="s">
        <v>4</v>
      </c>
    </row>
    <row r="6" customFormat="false" ht="15" hidden="false" customHeight="false" outlineLevel="0" collapsed="false">
      <c r="A6" s="4" t="s">
        <v>5</v>
      </c>
      <c r="B6" s="5" t="n">
        <v>0.4</v>
      </c>
      <c r="C6" s="6" t="s">
        <v>6</v>
      </c>
    </row>
    <row r="7" customFormat="false" ht="15" hidden="false" customHeight="false" outlineLevel="0" collapsed="false">
      <c r="A7" s="7" t="s">
        <v>7</v>
      </c>
      <c r="B7" s="8" t="n">
        <v>0.375</v>
      </c>
      <c r="C7" s="6" t="s">
        <v>8</v>
      </c>
    </row>
    <row r="9" customFormat="false" ht="15" hidden="false" customHeight="false" outlineLevel="0" collapsed="false">
      <c r="A9" s="3" t="s">
        <v>9</v>
      </c>
    </row>
    <row r="10" customFormat="false" ht="15" hidden="false" customHeight="false" outlineLevel="0" collapsed="false">
      <c r="A10" s="4" t="s">
        <v>10</v>
      </c>
    </row>
    <row r="11" customFormat="false" ht="15" hidden="false" customHeight="false" outlineLevel="0" collapsed="false">
      <c r="A11" s="4" t="s">
        <v>11</v>
      </c>
    </row>
    <row r="12" customFormat="false" ht="15" hidden="false" customHeight="false" outlineLevel="0" collapsed="false">
      <c r="A12" s="4" t="s">
        <v>12</v>
      </c>
    </row>
    <row r="13" customFormat="false" ht="15" hidden="false" customHeight="false" outlineLevel="0" collapsed="false">
      <c r="A13" s="4" t="s">
        <v>13</v>
      </c>
    </row>
    <row r="14" customFormat="false" ht="15" hidden="false" customHeight="false" outlineLevel="0" collapsed="false">
      <c r="A14" s="4" t="s">
        <v>14</v>
      </c>
    </row>
    <row r="15" customFormat="false" ht="15" hidden="false" customHeight="false" outlineLevel="0" collapsed="false">
      <c r="A15" s="4" t="s">
        <v>15</v>
      </c>
    </row>
    <row r="17" customFormat="false" ht="15" hidden="false" customHeight="false" outlineLevel="0" collapsed="false">
      <c r="A17" s="3" t="s">
        <v>16</v>
      </c>
    </row>
    <row r="18" customFormat="false" ht="15" hidden="false" customHeight="false" outlineLevel="0" collapsed="false">
      <c r="A18" s="9" t="s">
        <v>17</v>
      </c>
      <c r="C18" s="10" t="s">
        <v>18</v>
      </c>
    </row>
    <row r="19" customFormat="false" ht="15" hidden="false" customHeight="false" outlineLevel="0" collapsed="false">
      <c r="A19" s="11" t="s">
        <v>19</v>
      </c>
      <c r="C19" s="10" t="s">
        <v>20</v>
      </c>
    </row>
    <row r="20" customFormat="false" ht="15" hidden="false" customHeight="false" outlineLevel="0" collapsed="false">
      <c r="A20" s="12" t="s">
        <v>21</v>
      </c>
      <c r="C20" s="10" t="s">
        <v>22</v>
      </c>
    </row>
    <row r="21" customFormat="false" ht="15" hidden="false" customHeight="false" outlineLevel="0" collapsed="false">
      <c r="A21" s="13" t="s">
        <v>23</v>
      </c>
      <c r="C21" s="10" t="s">
        <v>24</v>
      </c>
    </row>
    <row r="22" customFormat="false" ht="15" hidden="false" customHeight="false" outlineLevel="0" collapsed="false">
      <c r="A22" s="14" t="s">
        <v>25</v>
      </c>
      <c r="C22" s="10" t="s">
        <v>26</v>
      </c>
    </row>
    <row r="25" customFormat="false" ht="15" hidden="false" customHeight="false" outlineLevel="0" collapsed="false">
      <c r="A25" s="3" t="s">
        <v>27</v>
      </c>
    </row>
    <row r="26" customFormat="false" ht="30" hidden="false" customHeight="true" outlineLevel="0" collapsed="false">
      <c r="A26" s="15" t="s">
        <v>28</v>
      </c>
      <c r="B26" s="15"/>
      <c r="C26" s="15"/>
      <c r="D26" s="15"/>
      <c r="E26" s="15"/>
      <c r="F26" s="15"/>
    </row>
  </sheetData>
  <mergeCells count="3">
    <mergeCell ref="A1:F1"/>
    <mergeCell ref="A2:F2"/>
    <mergeCell ref="A26:F26"/>
  </mergeCells>
  <printOptions headings="false" gridLines="false" gridLinesSet="true" horizontalCentered="true" verticalCentered="false"/>
  <pageMargins left="0.3" right="0.3" top="0.4" bottom="0.4"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Parâmetros&amp;R&amp;8 Página &amp;P de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2E2E"/>
    <pageSetUpPr fitToPage="true"/>
  </sheetPr>
  <dimension ref="A1:N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36"/>
    <col collapsed="false" customWidth="true" hidden="false" outlineLevel="0" max="3" min="3" style="0" width="20"/>
    <col collapsed="false" customWidth="true" hidden="false" outlineLevel="0" max="4" min="4" style="0" width="52"/>
    <col collapsed="false" customWidth="true" hidden="false" outlineLevel="0" max="6" min="5" style="0" width="11"/>
    <col collapsed="false" customWidth="true" hidden="false" outlineLevel="0" max="7" min="7" style="0" width="9"/>
    <col collapsed="false" customWidth="true" hidden="false" outlineLevel="0" max="9" min="8" style="0" width="15"/>
    <col collapsed="false" customWidth="true" hidden="false" outlineLevel="0" max="10" min="10" style="0" width="17"/>
    <col collapsed="false" customWidth="true" hidden="false" outlineLevel="0" max="13" min="11" style="0" width="16"/>
    <col collapsed="false" customWidth="true" hidden="false" outlineLevel="0" max="14" min="14" style="0" width="15"/>
  </cols>
  <sheetData>
    <row r="1" customFormat="false" ht="33.75" hidden="false" customHeight="true" outlineLevel="0" collapsed="false">
      <c r="A1" s="1" t="s">
        <v>29</v>
      </c>
      <c r="B1" s="1"/>
      <c r="C1" s="1"/>
      <c r="D1" s="1"/>
      <c r="E1" s="1"/>
      <c r="F1" s="1"/>
      <c r="G1" s="1"/>
      <c r="H1" s="1"/>
      <c r="I1" s="1"/>
      <c r="J1" s="1"/>
      <c r="K1" s="1"/>
      <c r="L1" s="1"/>
      <c r="M1" s="1"/>
      <c r="N1" s="1"/>
    </row>
    <row r="2" customFormat="false" ht="15.75" hidden="false" customHeight="true" outlineLevel="0" collapsed="false">
      <c r="A2" s="2" t="s">
        <v>30</v>
      </c>
      <c r="B2" s="2"/>
      <c r="C2" s="2"/>
      <c r="D2" s="2"/>
      <c r="E2" s="2"/>
      <c r="F2" s="2"/>
      <c r="G2" s="2"/>
      <c r="H2" s="2"/>
      <c r="I2" s="2"/>
      <c r="J2" s="2"/>
      <c r="K2" s="2"/>
      <c r="L2" s="2"/>
      <c r="M2" s="2"/>
      <c r="N2" s="2"/>
    </row>
    <row r="3" customFormat="false" ht="15" hidden="false" customHeight="false" outlineLevel="0" collapsed="false">
      <c r="A3" s="16" t="s">
        <v>31</v>
      </c>
      <c r="B3" s="16"/>
      <c r="C3" s="17" t="n">
        <f aca="false">Parâmetros!$B$7</f>
        <v>0.375</v>
      </c>
      <c r="D3" s="6" t="s">
        <v>32</v>
      </c>
    </row>
    <row r="5" customFormat="false" ht="30" hidden="false" customHeight="true" outlineLevel="0" collapsed="false">
      <c r="A5" s="18" t="s">
        <v>33</v>
      </c>
      <c r="B5" s="18" t="s">
        <v>34</v>
      </c>
      <c r="C5" s="18" t="s">
        <v>35</v>
      </c>
      <c r="D5" s="18" t="s">
        <v>36</v>
      </c>
      <c r="E5" s="18" t="s">
        <v>37</v>
      </c>
      <c r="F5" s="18" t="s">
        <v>38</v>
      </c>
      <c r="G5" s="18" t="s">
        <v>39</v>
      </c>
      <c r="H5" s="18" t="s">
        <v>40</v>
      </c>
      <c r="I5" s="18" t="s">
        <v>41</v>
      </c>
      <c r="J5" s="18" t="s">
        <v>42</v>
      </c>
      <c r="K5" s="18" t="s">
        <v>43</v>
      </c>
      <c r="L5" s="18" t="s">
        <v>44</v>
      </c>
      <c r="M5" s="18" t="s">
        <v>45</v>
      </c>
      <c r="N5" s="18" t="s">
        <v>46</v>
      </c>
    </row>
    <row r="6" customFormat="false" ht="15" hidden="false" customHeight="false" outlineLevel="0" collapsed="false">
      <c r="A6" s="19" t="s">
        <v>47</v>
      </c>
      <c r="B6" s="20" t="s">
        <v>48</v>
      </c>
      <c r="C6" s="20" t="s">
        <v>49</v>
      </c>
      <c r="D6" s="21" t="s">
        <v>50</v>
      </c>
      <c r="E6" s="22" t="s">
        <v>51</v>
      </c>
      <c r="F6" s="22" t="s">
        <v>52</v>
      </c>
      <c r="G6" s="23" t="n">
        <f aca="false">COUNTIFS('Itens Consolidados'!$A$5:$A$40,$A6)</f>
        <v>13</v>
      </c>
      <c r="H6" s="24" t="n">
        <f aca="false">SUMIFS('Itens Consolidados'!$L$5:$L$40,'Itens Consolidados'!$A$5:$A$40,$A6,'Itens Consolidados'!$D$5:$D$40,"Inicial")</f>
        <v>42000</v>
      </c>
      <c r="I6" s="24" t="n">
        <f aca="false">J6-H6</f>
        <v>168260</v>
      </c>
      <c r="J6" s="24" t="n">
        <f aca="false">SUMIFS('Itens Consolidados'!$L$5:$L$40,'Itens Consolidados'!$A$5:$A$40,$A6)</f>
        <v>210260</v>
      </c>
      <c r="K6" s="24" t="n">
        <f aca="false">SUMIFS('Itens Consolidados'!$N$5:$N$40,'Itens Consolidados'!$A$5:$A$40,$A6)</f>
        <v>283851</v>
      </c>
      <c r="L6" s="24" t="n">
        <f aca="false">SUMIFS('Itens Consolidados'!$P$5:$P$40,'Itens Consolidados'!$A$5:$A$40,$A6)</f>
        <v>294364</v>
      </c>
      <c r="M6" s="24" t="n">
        <f aca="false">SUMIFS('Itens Consolidados'!$R$5:$R$40,'Itens Consolidados'!$A$5:$A$40,$A6)</f>
        <v>289107.5</v>
      </c>
      <c r="N6" s="24" t="n">
        <f aca="false">M6-J6</f>
        <v>78847.5</v>
      </c>
    </row>
    <row r="7" customFormat="false" ht="15" hidden="false" customHeight="false" outlineLevel="0" collapsed="false">
      <c r="A7" s="19" t="s">
        <v>53</v>
      </c>
      <c r="B7" s="20" t="s">
        <v>54</v>
      </c>
      <c r="C7" s="20" t="s">
        <v>55</v>
      </c>
      <c r="D7" s="21" t="s">
        <v>56</v>
      </c>
      <c r="E7" s="22" t="s">
        <v>57</v>
      </c>
      <c r="F7" s="22" t="s">
        <v>58</v>
      </c>
      <c r="G7" s="23" t="n">
        <f aca="false">COUNTIFS('Itens Consolidados'!$A$5:$A$40,$A7)</f>
        <v>6</v>
      </c>
      <c r="H7" s="24" t="n">
        <f aca="false">SUMIFS('Itens Consolidados'!$L$5:$L$40,'Itens Consolidados'!$A$5:$A$40,$A7,'Itens Consolidados'!$D$5:$D$40,"Inicial")</f>
        <v>241857.6</v>
      </c>
      <c r="I7" s="24" t="n">
        <f aca="false">J7-H7</f>
        <v>54816.21</v>
      </c>
      <c r="J7" s="24" t="n">
        <f aca="false">SUMIFS('Itens Consolidados'!$L$5:$L$40,'Itens Consolidados'!$A$5:$A$40,$A7)</f>
        <v>296673.81</v>
      </c>
      <c r="K7" s="24" t="n">
        <f aca="false">SUMIFS('Itens Consolidados'!$N$5:$N$40,'Itens Consolidados'!$A$5:$A$40,$A7)</f>
        <v>400509.6435</v>
      </c>
      <c r="L7" s="24" t="n">
        <f aca="false">SUMIFS('Itens Consolidados'!$P$5:$P$40,'Itens Consolidados'!$A$5:$A$40,$A7)</f>
        <v>415343.334</v>
      </c>
      <c r="M7" s="24" t="n">
        <f aca="false">SUMIFS('Itens Consolidados'!$R$5:$R$40,'Itens Consolidados'!$A$5:$A$40,$A7)</f>
        <v>407926.48875</v>
      </c>
      <c r="N7" s="24" t="n">
        <f aca="false">M7-J7</f>
        <v>111252.67875</v>
      </c>
    </row>
    <row r="8" customFormat="false" ht="23.85" hidden="false" customHeight="false" outlineLevel="0" collapsed="false">
      <c r="A8" s="19" t="s">
        <v>59</v>
      </c>
      <c r="B8" s="20" t="s">
        <v>60</v>
      </c>
      <c r="C8" s="20" t="s">
        <v>61</v>
      </c>
      <c r="D8" s="21" t="s">
        <v>62</v>
      </c>
      <c r="E8" s="22" t="s">
        <v>63</v>
      </c>
      <c r="F8" s="22" t="s">
        <v>64</v>
      </c>
      <c r="G8" s="23" t="n">
        <f aca="false">COUNTIFS('Itens Consolidados'!$A$5:$A$40,$A8)</f>
        <v>6</v>
      </c>
      <c r="H8" s="24" t="n">
        <f aca="false">SUMIFS('Itens Consolidados'!$L$5:$L$40,'Itens Consolidados'!$A$5:$A$40,$A8,'Itens Consolidados'!$D$5:$D$40,"Inicial")</f>
        <v>32500</v>
      </c>
      <c r="I8" s="24" t="n">
        <f aca="false">J8-H8</f>
        <v>92043.05</v>
      </c>
      <c r="J8" s="24" t="n">
        <f aca="false">SUMIFS('Itens Consolidados'!$L$5:$L$40,'Itens Consolidados'!$A$5:$A$40,$A8)</f>
        <v>124543.05</v>
      </c>
      <c r="K8" s="24" t="n">
        <f aca="false">SUMIFS('Itens Consolidados'!$N$5:$N$40,'Itens Consolidados'!$A$5:$A$40,$A8)</f>
        <v>168133.1175</v>
      </c>
      <c r="L8" s="24" t="n">
        <f aca="false">SUMIFS('Itens Consolidados'!$P$5:$P$40,'Itens Consolidados'!$A$5:$A$40,$A8)</f>
        <v>174360.27</v>
      </c>
      <c r="M8" s="24" t="n">
        <f aca="false">SUMIFS('Itens Consolidados'!$R$5:$R$40,'Itens Consolidados'!$A$5:$A$40,$A8)</f>
        <v>171246.69375</v>
      </c>
      <c r="N8" s="24" t="n">
        <f aca="false">M8-J8</f>
        <v>46703.64375</v>
      </c>
    </row>
    <row r="9" customFormat="false" ht="23.85" hidden="false" customHeight="false" outlineLevel="0" collapsed="false">
      <c r="A9" s="19" t="s">
        <v>65</v>
      </c>
      <c r="B9" s="20" t="s">
        <v>66</v>
      </c>
      <c r="C9" s="20" t="s">
        <v>67</v>
      </c>
      <c r="D9" s="21" t="s">
        <v>68</v>
      </c>
      <c r="E9" s="22" t="s">
        <v>69</v>
      </c>
      <c r="F9" s="22" t="s">
        <v>70</v>
      </c>
      <c r="G9" s="23" t="n">
        <f aca="false">COUNTIFS('Itens Consolidados'!$A$5:$A$40,$A9)</f>
        <v>1</v>
      </c>
      <c r="H9" s="24" t="n">
        <f aca="false">SUMIFS('Itens Consolidados'!$L$5:$L$40,'Itens Consolidados'!$A$5:$A$40,$A9,'Itens Consolidados'!$D$5:$D$40,"Inicial")</f>
        <v>95923.2</v>
      </c>
      <c r="I9" s="24" t="n">
        <f aca="false">J9-H9</f>
        <v>0</v>
      </c>
      <c r="J9" s="24" t="n">
        <f aca="false">SUMIFS('Itens Consolidados'!$L$5:$L$40,'Itens Consolidados'!$A$5:$A$40,$A9)</f>
        <v>95923.2</v>
      </c>
      <c r="K9" s="24" t="n">
        <f aca="false">SUMIFS('Itens Consolidados'!$N$5:$N$40,'Itens Consolidados'!$A$5:$A$40,$A9)</f>
        <v>129496.32</v>
      </c>
      <c r="L9" s="24" t="n">
        <f aca="false">SUMIFS('Itens Consolidados'!$P$5:$P$40,'Itens Consolidados'!$A$5:$A$40,$A9)</f>
        <v>134292.48</v>
      </c>
      <c r="M9" s="24" t="n">
        <f aca="false">SUMIFS('Itens Consolidados'!$R$5:$R$40,'Itens Consolidados'!$A$5:$A$40,$A9)</f>
        <v>131894.4</v>
      </c>
      <c r="N9" s="24" t="n">
        <f aca="false">M9-J9</f>
        <v>35971.2</v>
      </c>
    </row>
    <row r="10" customFormat="false" ht="23.85" hidden="false" customHeight="false" outlineLevel="0" collapsed="false">
      <c r="A10" s="19" t="s">
        <v>71</v>
      </c>
      <c r="B10" s="20" t="s">
        <v>72</v>
      </c>
      <c r="C10" s="20" t="s">
        <v>73</v>
      </c>
      <c r="D10" s="21" t="s">
        <v>74</v>
      </c>
      <c r="E10" s="22" t="s">
        <v>75</v>
      </c>
      <c r="F10" s="22" t="s">
        <v>76</v>
      </c>
      <c r="G10" s="23" t="n">
        <f aca="false">COUNTIFS('Itens Consolidados'!$A$5:$A$40,$A10)</f>
        <v>2</v>
      </c>
      <c r="H10" s="24" t="n">
        <f aca="false">SUMIFS('Itens Consolidados'!$L$5:$L$40,'Itens Consolidados'!$A$5:$A$40,$A10,'Itens Consolidados'!$D$5:$D$40,"Inicial")</f>
        <v>60000</v>
      </c>
      <c r="I10" s="24" t="n">
        <f aca="false">J10-H10</f>
        <v>37671</v>
      </c>
      <c r="J10" s="24" t="n">
        <f aca="false">SUMIFS('Itens Consolidados'!$L$5:$L$40,'Itens Consolidados'!$A$5:$A$40,$A10)</f>
        <v>97671</v>
      </c>
      <c r="K10" s="24" t="n">
        <f aca="false">SUMIFS('Itens Consolidados'!$N$5:$N$40,'Itens Consolidados'!$A$5:$A$40,$A10)</f>
        <v>131855.85</v>
      </c>
      <c r="L10" s="24" t="n">
        <f aca="false">SUMIFS('Itens Consolidados'!$P$5:$P$40,'Itens Consolidados'!$A$5:$A$40,$A10)</f>
        <v>136739.4</v>
      </c>
      <c r="M10" s="24" t="n">
        <f aca="false">SUMIFS('Itens Consolidados'!$R$5:$R$40,'Itens Consolidados'!$A$5:$A$40,$A10)</f>
        <v>134297.625</v>
      </c>
      <c r="N10" s="24" t="n">
        <f aca="false">M10-J10</f>
        <v>36626.625</v>
      </c>
    </row>
    <row r="11" customFormat="false" ht="23.85" hidden="false" customHeight="false" outlineLevel="0" collapsed="false">
      <c r="A11" s="19" t="s">
        <v>77</v>
      </c>
      <c r="B11" s="20" t="s">
        <v>78</v>
      </c>
      <c r="C11" s="20" t="s">
        <v>79</v>
      </c>
      <c r="D11" s="21" t="s">
        <v>80</v>
      </c>
      <c r="E11" s="22" t="s">
        <v>81</v>
      </c>
      <c r="F11" s="22" t="s">
        <v>82</v>
      </c>
      <c r="G11" s="23" t="n">
        <f aca="false">COUNTIFS('Itens Consolidados'!$A$5:$A$40,$A11)</f>
        <v>8</v>
      </c>
      <c r="H11" s="24" t="n">
        <f aca="false">SUMIFS('Itens Consolidados'!$L$5:$L$40,'Itens Consolidados'!$A$5:$A$40,$A11,'Itens Consolidados'!$D$5:$D$40,"Inicial")</f>
        <v>23605.65</v>
      </c>
      <c r="I11" s="24" t="n">
        <f aca="false">J11-H11</f>
        <v>1915</v>
      </c>
      <c r="J11" s="24" t="n">
        <f aca="false">SUMIFS('Itens Consolidados'!$L$5:$L$40,'Itens Consolidados'!$A$5:$A$40,$A11)</f>
        <v>25520.65</v>
      </c>
      <c r="K11" s="24" t="n">
        <f aca="false">SUMIFS('Itens Consolidados'!$N$5:$N$40,'Itens Consolidados'!$A$5:$A$40,$A11)</f>
        <v>34452.8775</v>
      </c>
      <c r="L11" s="24" t="n">
        <f aca="false">SUMIFS('Itens Consolidados'!$P$5:$P$40,'Itens Consolidados'!$A$5:$A$40,$A11)</f>
        <v>35728.91</v>
      </c>
      <c r="M11" s="24" t="n">
        <f aca="false">SUMIFS('Itens Consolidados'!$R$5:$R$40,'Itens Consolidados'!$A$5:$A$40,$A11)</f>
        <v>35090.89375</v>
      </c>
      <c r="N11" s="24" t="n">
        <f aca="false">M11-J11</f>
        <v>9570.24375</v>
      </c>
    </row>
    <row r="12" customFormat="false" ht="19.5" hidden="false" customHeight="true" outlineLevel="0" collapsed="false">
      <c r="A12" s="25" t="s">
        <v>83</v>
      </c>
      <c r="B12" s="25"/>
      <c r="C12" s="25"/>
      <c r="D12" s="25"/>
      <c r="E12" s="25"/>
      <c r="F12" s="25"/>
      <c r="G12" s="26" t="n">
        <f aca="false">SUM(G6:G11)</f>
        <v>36</v>
      </c>
      <c r="H12" s="27" t="n">
        <f aca="false">SUM(H6:H11)</f>
        <v>495886.45</v>
      </c>
      <c r="I12" s="27" t="n">
        <f aca="false">SUM(I6:I11)</f>
        <v>354705.26</v>
      </c>
      <c r="J12" s="27" t="n">
        <f aca="false">SUM(J6:J11)</f>
        <v>850591.71</v>
      </c>
      <c r="K12" s="27" t="n">
        <f aca="false">SUM(K6:K11)</f>
        <v>1148298.8085</v>
      </c>
      <c r="L12" s="27" t="n">
        <f aca="false">SUM(L6:L11)</f>
        <v>1190828.394</v>
      </c>
      <c r="M12" s="27" t="n">
        <f aca="false">SUM(M6:M11)</f>
        <v>1169563.60125</v>
      </c>
      <c r="N12" s="27" t="n">
        <f aca="false">SUM(N6:N11)</f>
        <v>318971.89125</v>
      </c>
    </row>
    <row r="15" customFormat="false" ht="15" hidden="false" customHeight="false" outlineLevel="0" collapsed="false">
      <c r="A15" s="28" t="s">
        <v>84</v>
      </c>
    </row>
    <row r="16" customFormat="false" ht="35.05" hidden="false" customHeight="true" outlineLevel="0" collapsed="false">
      <c r="A16" s="18" t="s">
        <v>85</v>
      </c>
      <c r="B16" s="18"/>
      <c r="C16" s="18" t="s">
        <v>86</v>
      </c>
      <c r="D16" s="18" t="s">
        <v>87</v>
      </c>
      <c r="E16" s="18" t="s">
        <v>88</v>
      </c>
    </row>
    <row r="17" customFormat="false" ht="15" hidden="false" customHeight="false" outlineLevel="0" collapsed="false">
      <c r="A17" s="29" t="s">
        <v>89</v>
      </c>
      <c r="B17" s="29"/>
      <c r="C17" s="30" t="n">
        <v>0</v>
      </c>
      <c r="D17" s="31" t="n">
        <f aca="false">J12</f>
        <v>850591.71</v>
      </c>
      <c r="E17" s="31" t="n">
        <f aca="false">D17-$J$12</f>
        <v>0</v>
      </c>
    </row>
    <row r="18" customFormat="false" ht="15" hidden="false" customHeight="false" outlineLevel="0" collapsed="false">
      <c r="A18" s="29" t="s">
        <v>90</v>
      </c>
      <c r="B18" s="29"/>
      <c r="C18" s="32" t="n">
        <f aca="false">Parâmetros!$B$5</f>
        <v>0.35</v>
      </c>
      <c r="D18" s="31" t="n">
        <f aca="false">K12</f>
        <v>1148298.8085</v>
      </c>
      <c r="E18" s="31" t="n">
        <f aca="false">D18-$J$12</f>
        <v>297707.0985</v>
      </c>
    </row>
    <row r="19" customFormat="false" ht="15" hidden="false" customHeight="false" outlineLevel="0" collapsed="false">
      <c r="A19" s="29" t="s">
        <v>91</v>
      </c>
      <c r="B19" s="29"/>
      <c r="C19" s="32" t="n">
        <f aca="false">Parâmetros!$B$6</f>
        <v>0.4</v>
      </c>
      <c r="D19" s="31" t="n">
        <f aca="false">L12</f>
        <v>1190828.394</v>
      </c>
      <c r="E19" s="31" t="n">
        <f aca="false">D19-$J$12</f>
        <v>340236.684</v>
      </c>
    </row>
    <row r="20" customFormat="false" ht="15" hidden="false" customHeight="false" outlineLevel="0" collapsed="false">
      <c r="A20" s="33" t="s">
        <v>92</v>
      </c>
      <c r="B20" s="33"/>
      <c r="C20" s="34" t="n">
        <f aca="false">Parâmetros!$B$7</f>
        <v>0.375</v>
      </c>
      <c r="D20" s="35" t="n">
        <f aca="false">M12</f>
        <v>1169563.60125</v>
      </c>
      <c r="E20" s="35" t="n">
        <f aca="false">D20-$J$12</f>
        <v>318971.89125</v>
      </c>
    </row>
  </sheetData>
  <mergeCells count="9">
    <mergeCell ref="A1:N1"/>
    <mergeCell ref="A2:N2"/>
    <mergeCell ref="A3:B3"/>
    <mergeCell ref="A12:F12"/>
    <mergeCell ref="A16:B16"/>
    <mergeCell ref="A17:B17"/>
    <mergeCell ref="A18:B18"/>
    <mergeCell ref="A19:B19"/>
    <mergeCell ref="A20:B20"/>
  </mergeCells>
  <printOptions headings="false" gridLines="false" gridLinesSet="true" horizontalCentered="true" verticalCentered="false"/>
  <pageMargins left="0.3" right="0.3" top="0.4" bottom="0.4"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Resumo&amp;R&amp;8 Página &amp;P de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2E2E"/>
    <pageSetUpPr fitToPage="true"/>
  </sheetPr>
  <dimension ref="A1:S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3" min="3" style="0" width="20"/>
    <col collapsed="false" customWidth="true" hidden="false" outlineLevel="0" max="4" min="4" style="0" width="11"/>
    <col collapsed="false" customWidth="true" hidden="false" outlineLevel="0" max="5" min="5" style="0" width="13"/>
    <col collapsed="false" customWidth="true" hidden="false" outlineLevel="0" max="6" min="6" style="0" width="15"/>
    <col collapsed="false" customWidth="true" hidden="false" outlineLevel="0" max="7" min="7" style="0" width="9"/>
    <col collapsed="false" customWidth="true" hidden="false" outlineLevel="0" max="8" min="8" style="0" width="62"/>
    <col collapsed="false" customWidth="true" hidden="false" outlineLevel="0" max="9" min="9" style="0" width="7"/>
    <col collapsed="false" customWidth="true" hidden="false" outlineLevel="0" max="10" min="10" style="0" width="13"/>
    <col collapsed="false" customWidth="true" hidden="false" outlineLevel="0" max="19" min="11" style="0" width="15"/>
  </cols>
  <sheetData>
    <row r="1" customFormat="false" ht="33.75" hidden="false" customHeight="true" outlineLevel="0" collapsed="false">
      <c r="A1" s="1" t="s">
        <v>93</v>
      </c>
      <c r="B1" s="1"/>
      <c r="C1" s="1"/>
      <c r="D1" s="1"/>
      <c r="E1" s="1"/>
      <c r="F1" s="1"/>
      <c r="G1" s="1"/>
      <c r="H1" s="1"/>
      <c r="I1" s="1"/>
      <c r="J1" s="1"/>
      <c r="K1" s="1"/>
      <c r="L1" s="1"/>
      <c r="M1" s="1"/>
      <c r="N1" s="1"/>
      <c r="O1" s="1"/>
      <c r="P1" s="1"/>
      <c r="Q1" s="1"/>
      <c r="R1" s="1"/>
      <c r="S1" s="1"/>
    </row>
    <row r="2" customFormat="false" ht="15.75" hidden="false" customHeight="true" outlineLevel="0" collapsed="false">
      <c r="A2" s="2" t="s">
        <v>94</v>
      </c>
      <c r="B2" s="2"/>
      <c r="C2" s="2"/>
      <c r="D2" s="2"/>
      <c r="E2" s="2"/>
      <c r="F2" s="2"/>
      <c r="G2" s="2"/>
      <c r="H2" s="2"/>
      <c r="I2" s="2"/>
      <c r="J2" s="2"/>
      <c r="K2" s="2"/>
      <c r="L2" s="2"/>
      <c r="M2" s="2"/>
      <c r="N2" s="2"/>
      <c r="O2" s="2"/>
      <c r="P2" s="2"/>
      <c r="Q2" s="2"/>
      <c r="R2" s="2"/>
      <c r="S2" s="2"/>
    </row>
    <row r="4" customFormat="false" ht="30" hidden="false" customHeight="true" outlineLevel="0" collapsed="false">
      <c r="A4" s="18" t="s">
        <v>33</v>
      </c>
      <c r="B4" s="18" t="s">
        <v>34</v>
      </c>
      <c r="C4" s="18" t="s">
        <v>95</v>
      </c>
      <c r="D4" s="18" t="s">
        <v>96</v>
      </c>
      <c r="E4" s="18" t="s">
        <v>97</v>
      </c>
      <c r="F4" s="18" t="s">
        <v>98</v>
      </c>
      <c r="G4" s="18" t="s">
        <v>99</v>
      </c>
      <c r="H4" s="18" t="s">
        <v>100</v>
      </c>
      <c r="I4" s="18" t="s">
        <v>101</v>
      </c>
      <c r="J4" s="18" t="s">
        <v>102</v>
      </c>
      <c r="K4" s="18" t="s">
        <v>103</v>
      </c>
      <c r="L4" s="18" t="s">
        <v>104</v>
      </c>
      <c r="M4" s="18" t="s">
        <v>105</v>
      </c>
      <c r="N4" s="18" t="s">
        <v>43</v>
      </c>
      <c r="O4" s="18" t="s">
        <v>106</v>
      </c>
      <c r="P4" s="18" t="s">
        <v>44</v>
      </c>
      <c r="Q4" s="18" t="s">
        <v>107</v>
      </c>
      <c r="R4" s="18" t="s">
        <v>45</v>
      </c>
      <c r="S4" s="18" t="s">
        <v>46</v>
      </c>
    </row>
    <row r="5" customFormat="false" ht="15" hidden="false" customHeight="false" outlineLevel="0" collapsed="false">
      <c r="A5" s="36" t="s">
        <v>47</v>
      </c>
      <c r="B5" s="36" t="s">
        <v>48</v>
      </c>
      <c r="C5" s="36" t="s">
        <v>108</v>
      </c>
      <c r="D5" s="37" t="s">
        <v>109</v>
      </c>
      <c r="E5" s="37"/>
      <c r="F5" s="36" t="s">
        <v>110</v>
      </c>
      <c r="G5" s="37" t="s">
        <v>111</v>
      </c>
      <c r="H5" s="38" t="s">
        <v>112</v>
      </c>
      <c r="I5" s="37" t="s">
        <v>113</v>
      </c>
      <c r="J5" s="39" t="n">
        <v>1</v>
      </c>
      <c r="K5" s="40" t="n">
        <v>42000</v>
      </c>
      <c r="L5" s="41" t="n">
        <f aca="false">J5*K5</f>
        <v>42000</v>
      </c>
      <c r="M5" s="42" t="n">
        <f aca="false">K5*(1+Parâmetros!$B$5)</f>
        <v>56700</v>
      </c>
      <c r="N5" s="41" t="n">
        <f aca="false">J5*M5</f>
        <v>56700</v>
      </c>
      <c r="O5" s="42" t="n">
        <f aca="false">K5*(1+Parâmetros!$B$6)</f>
        <v>58800</v>
      </c>
      <c r="P5" s="41" t="n">
        <f aca="false">J5*O5</f>
        <v>58800</v>
      </c>
      <c r="Q5" s="42" t="n">
        <f aca="false">K5*(1+Parâmetros!$B$7)</f>
        <v>57750</v>
      </c>
      <c r="R5" s="41" t="n">
        <f aca="false">J5*Q5</f>
        <v>57750</v>
      </c>
      <c r="S5" s="41" t="n">
        <f aca="false">R5-L5</f>
        <v>15750</v>
      </c>
    </row>
    <row r="6" customFormat="false" ht="41.75" hidden="false" customHeight="false" outlineLevel="0" collapsed="false">
      <c r="A6" s="43" t="s">
        <v>47</v>
      </c>
      <c r="B6" s="43" t="s">
        <v>48</v>
      </c>
      <c r="C6" s="43" t="s">
        <v>108</v>
      </c>
      <c r="D6" s="44" t="s">
        <v>114</v>
      </c>
      <c r="E6" s="44" t="s">
        <v>115</v>
      </c>
      <c r="F6" s="43" t="s">
        <v>116</v>
      </c>
      <c r="G6" s="44" t="s">
        <v>111</v>
      </c>
      <c r="H6" s="45" t="s">
        <v>117</v>
      </c>
      <c r="I6" s="44" t="s">
        <v>113</v>
      </c>
      <c r="J6" s="46" t="n">
        <v>1</v>
      </c>
      <c r="K6" s="47" t="n">
        <v>51300</v>
      </c>
      <c r="L6" s="48" t="n">
        <f aca="false">J6*K6</f>
        <v>51300</v>
      </c>
      <c r="M6" s="49" t="n">
        <f aca="false">K6*(1+Parâmetros!$B$5)</f>
        <v>69255</v>
      </c>
      <c r="N6" s="48" t="n">
        <f aca="false">J6*M6</f>
        <v>69255</v>
      </c>
      <c r="O6" s="49" t="n">
        <f aca="false">K6*(1+Parâmetros!$B$6)</f>
        <v>71820</v>
      </c>
      <c r="P6" s="48" t="n">
        <f aca="false">J6*O6</f>
        <v>71820</v>
      </c>
      <c r="Q6" s="49" t="n">
        <f aca="false">K6*(1+Parâmetros!$B$7)</f>
        <v>70537.5</v>
      </c>
      <c r="R6" s="48" t="n">
        <f aca="false">J6*Q6</f>
        <v>70537.5</v>
      </c>
      <c r="S6" s="48" t="n">
        <f aca="false">R6-L6</f>
        <v>19237.5</v>
      </c>
    </row>
    <row r="7" customFormat="false" ht="41.75" hidden="false" customHeight="false" outlineLevel="0" collapsed="false">
      <c r="A7" s="43" t="s">
        <v>47</v>
      </c>
      <c r="B7" s="43" t="s">
        <v>48</v>
      </c>
      <c r="C7" s="43" t="s">
        <v>108</v>
      </c>
      <c r="D7" s="44" t="s">
        <v>114</v>
      </c>
      <c r="E7" s="44" t="s">
        <v>115</v>
      </c>
      <c r="F7" s="43" t="s">
        <v>118</v>
      </c>
      <c r="G7" s="44" t="s">
        <v>111</v>
      </c>
      <c r="H7" s="45" t="s">
        <v>119</v>
      </c>
      <c r="I7" s="44" t="s">
        <v>113</v>
      </c>
      <c r="J7" s="46" t="n">
        <v>1</v>
      </c>
      <c r="K7" s="47" t="n">
        <v>26600</v>
      </c>
      <c r="L7" s="48" t="n">
        <f aca="false">J7*K7</f>
        <v>26600</v>
      </c>
      <c r="M7" s="49" t="n">
        <f aca="false">K7*(1+Parâmetros!$B$5)</f>
        <v>35910</v>
      </c>
      <c r="N7" s="48" t="n">
        <f aca="false">J7*M7</f>
        <v>35910</v>
      </c>
      <c r="O7" s="49" t="n">
        <f aca="false">K7*(1+Parâmetros!$B$6)</f>
        <v>37240</v>
      </c>
      <c r="P7" s="48" t="n">
        <f aca="false">J7*O7</f>
        <v>37240</v>
      </c>
      <c r="Q7" s="49" t="n">
        <f aca="false">K7*(1+Parâmetros!$B$7)</f>
        <v>36575</v>
      </c>
      <c r="R7" s="48" t="n">
        <f aca="false">J7*Q7</f>
        <v>36575</v>
      </c>
      <c r="S7" s="48" t="n">
        <f aca="false">R7-L7</f>
        <v>9975</v>
      </c>
    </row>
    <row r="8" customFormat="false" ht="28.35" hidden="false" customHeight="false" outlineLevel="0" collapsed="false">
      <c r="A8" s="43" t="s">
        <v>47</v>
      </c>
      <c r="B8" s="43" t="s">
        <v>48</v>
      </c>
      <c r="C8" s="43" t="s">
        <v>108</v>
      </c>
      <c r="D8" s="44" t="s">
        <v>114</v>
      </c>
      <c r="E8" s="44" t="s">
        <v>115</v>
      </c>
      <c r="F8" s="43" t="s">
        <v>120</v>
      </c>
      <c r="G8" s="44" t="s">
        <v>111</v>
      </c>
      <c r="H8" s="45" t="s">
        <v>121</v>
      </c>
      <c r="I8" s="44" t="s">
        <v>113</v>
      </c>
      <c r="J8" s="46" t="n">
        <v>1</v>
      </c>
      <c r="K8" s="47" t="n">
        <v>10500</v>
      </c>
      <c r="L8" s="48" t="n">
        <f aca="false">J8*K8</f>
        <v>10500</v>
      </c>
      <c r="M8" s="49" t="n">
        <f aca="false">K8*(1+Parâmetros!$B$5)</f>
        <v>14175</v>
      </c>
      <c r="N8" s="48" t="n">
        <f aca="false">J8*M8</f>
        <v>14175</v>
      </c>
      <c r="O8" s="49" t="n">
        <f aca="false">K8*(1+Parâmetros!$B$6)</f>
        <v>14700</v>
      </c>
      <c r="P8" s="48" t="n">
        <f aca="false">J8*O8</f>
        <v>14700</v>
      </c>
      <c r="Q8" s="49" t="n">
        <f aca="false">K8*(1+Parâmetros!$B$7)</f>
        <v>14437.5</v>
      </c>
      <c r="R8" s="48" t="n">
        <f aca="false">J8*Q8</f>
        <v>14437.5</v>
      </c>
      <c r="S8" s="48" t="n">
        <f aca="false">R8-L8</f>
        <v>3937.5</v>
      </c>
    </row>
    <row r="9" customFormat="false" ht="55.2" hidden="false" customHeight="false" outlineLevel="0" collapsed="false">
      <c r="A9" s="43" t="s">
        <v>47</v>
      </c>
      <c r="B9" s="43" t="s">
        <v>48</v>
      </c>
      <c r="C9" s="43" t="s">
        <v>108</v>
      </c>
      <c r="D9" s="44" t="s">
        <v>122</v>
      </c>
      <c r="E9" s="44" t="s">
        <v>123</v>
      </c>
      <c r="F9" s="43" t="s">
        <v>124</v>
      </c>
      <c r="G9" s="44" t="s">
        <v>111</v>
      </c>
      <c r="H9" s="45" t="s">
        <v>125</v>
      </c>
      <c r="I9" s="44" t="s">
        <v>113</v>
      </c>
      <c r="J9" s="46" t="n">
        <v>1</v>
      </c>
      <c r="K9" s="47" t="n">
        <v>40000</v>
      </c>
      <c r="L9" s="48" t="n">
        <f aca="false">J9*K9</f>
        <v>40000</v>
      </c>
      <c r="M9" s="49" t="n">
        <f aca="false">K9*(1+Parâmetros!$B$5)</f>
        <v>54000</v>
      </c>
      <c r="N9" s="48" t="n">
        <f aca="false">J9*M9</f>
        <v>54000</v>
      </c>
      <c r="O9" s="49" t="n">
        <f aca="false">K9*(1+Parâmetros!$B$6)</f>
        <v>56000</v>
      </c>
      <c r="P9" s="48" t="n">
        <f aca="false">J9*O9</f>
        <v>56000</v>
      </c>
      <c r="Q9" s="49" t="n">
        <f aca="false">K9*(1+Parâmetros!$B$7)</f>
        <v>55000</v>
      </c>
      <c r="R9" s="48" t="n">
        <f aca="false">J9*Q9</f>
        <v>55000</v>
      </c>
      <c r="S9" s="48" t="n">
        <f aca="false">R9-L9</f>
        <v>15000</v>
      </c>
    </row>
    <row r="10" customFormat="false" ht="15" hidden="false" customHeight="false" outlineLevel="0" collapsed="false">
      <c r="A10" s="43" t="s">
        <v>47</v>
      </c>
      <c r="B10" s="43" t="s">
        <v>48</v>
      </c>
      <c r="C10" s="43" t="s">
        <v>108</v>
      </c>
      <c r="D10" s="44" t="s">
        <v>122</v>
      </c>
      <c r="E10" s="44" t="s">
        <v>123</v>
      </c>
      <c r="F10" s="43" t="s">
        <v>126</v>
      </c>
      <c r="G10" s="44" t="s">
        <v>111</v>
      </c>
      <c r="H10" s="45" t="s">
        <v>127</v>
      </c>
      <c r="I10" s="44" t="s">
        <v>113</v>
      </c>
      <c r="J10" s="46" t="n">
        <v>1</v>
      </c>
      <c r="K10" s="47" t="n">
        <v>1200</v>
      </c>
      <c r="L10" s="48" t="n">
        <f aca="false">J10*K10</f>
        <v>1200</v>
      </c>
      <c r="M10" s="49" t="n">
        <f aca="false">K10*(1+Parâmetros!$B$5)</f>
        <v>1620</v>
      </c>
      <c r="N10" s="48" t="n">
        <f aca="false">J10*M10</f>
        <v>1620</v>
      </c>
      <c r="O10" s="49" t="n">
        <f aca="false">K10*(1+Parâmetros!$B$6)</f>
        <v>1680</v>
      </c>
      <c r="P10" s="48" t="n">
        <f aca="false">J10*O10</f>
        <v>1680</v>
      </c>
      <c r="Q10" s="49" t="n">
        <f aca="false">K10*(1+Parâmetros!$B$7)</f>
        <v>1650</v>
      </c>
      <c r="R10" s="48" t="n">
        <f aca="false">J10*Q10</f>
        <v>1650</v>
      </c>
      <c r="S10" s="48" t="n">
        <f aca="false">R10-L10</f>
        <v>450</v>
      </c>
    </row>
    <row r="11" customFormat="false" ht="15" hidden="false" customHeight="false" outlineLevel="0" collapsed="false">
      <c r="A11" s="43" t="s">
        <v>47</v>
      </c>
      <c r="B11" s="43" t="s">
        <v>48</v>
      </c>
      <c r="C11" s="43" t="s">
        <v>108</v>
      </c>
      <c r="D11" s="44" t="s">
        <v>122</v>
      </c>
      <c r="E11" s="44" t="s">
        <v>123</v>
      </c>
      <c r="F11" s="43" t="s">
        <v>128</v>
      </c>
      <c r="G11" s="44" t="s">
        <v>111</v>
      </c>
      <c r="H11" s="45" t="s">
        <v>129</v>
      </c>
      <c r="I11" s="44" t="s">
        <v>113</v>
      </c>
      <c r="J11" s="46" t="n">
        <v>1</v>
      </c>
      <c r="K11" s="47" t="n">
        <v>14340</v>
      </c>
      <c r="L11" s="48" t="n">
        <f aca="false">J11*K11</f>
        <v>14340</v>
      </c>
      <c r="M11" s="49" t="n">
        <f aca="false">K11*(1+Parâmetros!$B$5)</f>
        <v>19359</v>
      </c>
      <c r="N11" s="48" t="n">
        <f aca="false">J11*M11</f>
        <v>19359</v>
      </c>
      <c r="O11" s="49" t="n">
        <f aca="false">K11*(1+Parâmetros!$B$6)</f>
        <v>20076</v>
      </c>
      <c r="P11" s="48" t="n">
        <f aca="false">J11*O11</f>
        <v>20076</v>
      </c>
      <c r="Q11" s="49" t="n">
        <f aca="false">K11*(1+Parâmetros!$B$7)</f>
        <v>19717.5</v>
      </c>
      <c r="R11" s="48" t="n">
        <f aca="false">J11*Q11</f>
        <v>19717.5</v>
      </c>
      <c r="S11" s="48" t="n">
        <f aca="false">R11-L11</f>
        <v>5377.5</v>
      </c>
    </row>
    <row r="12" customFormat="false" ht="28.35" hidden="false" customHeight="false" outlineLevel="0" collapsed="false">
      <c r="A12" s="43" t="s">
        <v>47</v>
      </c>
      <c r="B12" s="43" t="s">
        <v>48</v>
      </c>
      <c r="C12" s="43" t="s">
        <v>108</v>
      </c>
      <c r="D12" s="44" t="s">
        <v>122</v>
      </c>
      <c r="E12" s="44" t="s">
        <v>123</v>
      </c>
      <c r="F12" s="43" t="s">
        <v>130</v>
      </c>
      <c r="G12" s="44" t="s">
        <v>111</v>
      </c>
      <c r="H12" s="45" t="s">
        <v>131</v>
      </c>
      <c r="I12" s="44" t="s">
        <v>113</v>
      </c>
      <c r="J12" s="46" t="n">
        <v>1</v>
      </c>
      <c r="K12" s="47" t="n">
        <v>4900</v>
      </c>
      <c r="L12" s="48" t="n">
        <f aca="false">J12*K12</f>
        <v>4900</v>
      </c>
      <c r="M12" s="49" t="n">
        <f aca="false">K12*(1+Parâmetros!$B$5)</f>
        <v>6615</v>
      </c>
      <c r="N12" s="48" t="n">
        <f aca="false">J12*M12</f>
        <v>6615</v>
      </c>
      <c r="O12" s="49" t="n">
        <f aca="false">K12*(1+Parâmetros!$B$6)</f>
        <v>6860</v>
      </c>
      <c r="P12" s="48" t="n">
        <f aca="false">J12*O12</f>
        <v>6860</v>
      </c>
      <c r="Q12" s="49" t="n">
        <f aca="false">K12*(1+Parâmetros!$B$7)</f>
        <v>6737.5</v>
      </c>
      <c r="R12" s="48" t="n">
        <f aca="false">J12*Q12</f>
        <v>6737.5</v>
      </c>
      <c r="S12" s="48" t="n">
        <f aca="false">R12-L12</f>
        <v>1837.5</v>
      </c>
    </row>
    <row r="13" customFormat="false" ht="15" hidden="false" customHeight="false" outlineLevel="0" collapsed="false">
      <c r="A13" s="43" t="s">
        <v>47</v>
      </c>
      <c r="B13" s="43" t="s">
        <v>48</v>
      </c>
      <c r="C13" s="43" t="s">
        <v>108</v>
      </c>
      <c r="D13" s="44" t="s">
        <v>132</v>
      </c>
      <c r="E13" s="44" t="s">
        <v>133</v>
      </c>
      <c r="F13" s="43" t="s">
        <v>134</v>
      </c>
      <c r="G13" s="44" t="s">
        <v>111</v>
      </c>
      <c r="H13" s="45" t="s">
        <v>135</v>
      </c>
      <c r="I13" s="44" t="s">
        <v>113</v>
      </c>
      <c r="J13" s="46" t="n">
        <v>1</v>
      </c>
      <c r="K13" s="47" t="n">
        <v>7200</v>
      </c>
      <c r="L13" s="48" t="n">
        <f aca="false">J13*K13</f>
        <v>7200</v>
      </c>
      <c r="M13" s="49" t="n">
        <f aca="false">K13*(1+Parâmetros!$B$5)</f>
        <v>9720</v>
      </c>
      <c r="N13" s="48" t="n">
        <f aca="false">J13*M13</f>
        <v>9720</v>
      </c>
      <c r="O13" s="49" t="n">
        <f aca="false">K13*(1+Parâmetros!$B$6)</f>
        <v>10080</v>
      </c>
      <c r="P13" s="48" t="n">
        <f aca="false">J13*O13</f>
        <v>10080</v>
      </c>
      <c r="Q13" s="49" t="n">
        <f aca="false">K13*(1+Parâmetros!$B$7)</f>
        <v>9900</v>
      </c>
      <c r="R13" s="48" t="n">
        <f aca="false">J13*Q13</f>
        <v>9900</v>
      </c>
      <c r="S13" s="48" t="n">
        <f aca="false">R13-L13</f>
        <v>2700</v>
      </c>
    </row>
    <row r="14" customFormat="false" ht="41.75" hidden="false" customHeight="false" outlineLevel="0" collapsed="false">
      <c r="A14" s="43" t="s">
        <v>47</v>
      </c>
      <c r="B14" s="43" t="s">
        <v>48</v>
      </c>
      <c r="C14" s="43" t="s">
        <v>108</v>
      </c>
      <c r="D14" s="44" t="s">
        <v>132</v>
      </c>
      <c r="E14" s="44" t="s">
        <v>133</v>
      </c>
      <c r="F14" s="43" t="s">
        <v>136</v>
      </c>
      <c r="G14" s="44" t="s">
        <v>111</v>
      </c>
      <c r="H14" s="45" t="s">
        <v>137</v>
      </c>
      <c r="I14" s="44" t="s">
        <v>113</v>
      </c>
      <c r="J14" s="46" t="n">
        <v>1</v>
      </c>
      <c r="K14" s="47" t="n">
        <v>2320</v>
      </c>
      <c r="L14" s="48" t="n">
        <f aca="false">J14*K14</f>
        <v>2320</v>
      </c>
      <c r="M14" s="49" t="n">
        <f aca="false">K14*(1+Parâmetros!$B$5)</f>
        <v>3132</v>
      </c>
      <c r="N14" s="48" t="n">
        <f aca="false">J14*M14</f>
        <v>3132</v>
      </c>
      <c r="O14" s="49" t="n">
        <f aca="false">K14*(1+Parâmetros!$B$6)</f>
        <v>3248</v>
      </c>
      <c r="P14" s="48" t="n">
        <f aca="false">J14*O14</f>
        <v>3248</v>
      </c>
      <c r="Q14" s="49" t="n">
        <f aca="false">K14*(1+Parâmetros!$B$7)</f>
        <v>3190</v>
      </c>
      <c r="R14" s="48" t="n">
        <f aca="false">J14*Q14</f>
        <v>3190</v>
      </c>
      <c r="S14" s="48" t="n">
        <f aca="false">R14-L14</f>
        <v>870</v>
      </c>
    </row>
    <row r="15" customFormat="false" ht="55.2" hidden="false" customHeight="false" outlineLevel="0" collapsed="false">
      <c r="A15" s="43" t="s">
        <v>47</v>
      </c>
      <c r="B15" s="43" t="s">
        <v>48</v>
      </c>
      <c r="C15" s="43" t="s">
        <v>108</v>
      </c>
      <c r="D15" s="44" t="s">
        <v>132</v>
      </c>
      <c r="E15" s="44" t="s">
        <v>133</v>
      </c>
      <c r="F15" s="43" t="s">
        <v>138</v>
      </c>
      <c r="G15" s="44" t="s">
        <v>111</v>
      </c>
      <c r="H15" s="45" t="s">
        <v>139</v>
      </c>
      <c r="I15" s="44" t="s">
        <v>113</v>
      </c>
      <c r="J15" s="46" t="n">
        <v>1</v>
      </c>
      <c r="K15" s="47" t="n">
        <v>3900</v>
      </c>
      <c r="L15" s="48" t="n">
        <f aca="false">J15*K15</f>
        <v>3900</v>
      </c>
      <c r="M15" s="49" t="n">
        <f aca="false">K15*(1+Parâmetros!$B$5)</f>
        <v>5265</v>
      </c>
      <c r="N15" s="48" t="n">
        <f aca="false">J15*M15</f>
        <v>5265</v>
      </c>
      <c r="O15" s="49" t="n">
        <f aca="false">K15*(1+Parâmetros!$B$6)</f>
        <v>5460</v>
      </c>
      <c r="P15" s="48" t="n">
        <f aca="false">J15*O15</f>
        <v>5460</v>
      </c>
      <c r="Q15" s="49" t="n">
        <f aca="false">K15*(1+Parâmetros!$B$7)</f>
        <v>5362.5</v>
      </c>
      <c r="R15" s="48" t="n">
        <f aca="false">J15*Q15</f>
        <v>5362.5</v>
      </c>
      <c r="S15" s="48" t="n">
        <f aca="false">R15-L15</f>
        <v>1462.5</v>
      </c>
    </row>
    <row r="16" customFormat="false" ht="28.35" hidden="false" customHeight="false" outlineLevel="0" collapsed="false">
      <c r="A16" s="43" t="s">
        <v>47</v>
      </c>
      <c r="B16" s="43" t="s">
        <v>48</v>
      </c>
      <c r="C16" s="43" t="s">
        <v>108</v>
      </c>
      <c r="D16" s="44" t="s">
        <v>132</v>
      </c>
      <c r="E16" s="44" t="s">
        <v>133</v>
      </c>
      <c r="F16" s="43" t="s">
        <v>140</v>
      </c>
      <c r="G16" s="44" t="s">
        <v>111</v>
      </c>
      <c r="H16" s="45" t="s">
        <v>141</v>
      </c>
      <c r="I16" s="44" t="s">
        <v>113</v>
      </c>
      <c r="J16" s="46" t="n">
        <v>1</v>
      </c>
      <c r="K16" s="47" t="n">
        <v>2200</v>
      </c>
      <c r="L16" s="48" t="n">
        <f aca="false">J16*K16</f>
        <v>2200</v>
      </c>
      <c r="M16" s="49" t="n">
        <f aca="false">K16*(1+Parâmetros!$B$5)</f>
        <v>2970</v>
      </c>
      <c r="N16" s="48" t="n">
        <f aca="false">J16*M16</f>
        <v>2970</v>
      </c>
      <c r="O16" s="49" t="n">
        <f aca="false">K16*(1+Parâmetros!$B$6)</f>
        <v>3080</v>
      </c>
      <c r="P16" s="48" t="n">
        <f aca="false">J16*O16</f>
        <v>3080</v>
      </c>
      <c r="Q16" s="49" t="n">
        <f aca="false">K16*(1+Parâmetros!$B$7)</f>
        <v>3025</v>
      </c>
      <c r="R16" s="48" t="n">
        <f aca="false">J16*Q16</f>
        <v>3025</v>
      </c>
      <c r="S16" s="48" t="n">
        <f aca="false">R16-L16</f>
        <v>825</v>
      </c>
    </row>
    <row r="17" customFormat="false" ht="41.75" hidden="false" customHeight="false" outlineLevel="0" collapsed="false">
      <c r="A17" s="43" t="s">
        <v>47</v>
      </c>
      <c r="B17" s="43" t="s">
        <v>48</v>
      </c>
      <c r="C17" s="43" t="s">
        <v>108</v>
      </c>
      <c r="D17" s="44" t="s">
        <v>132</v>
      </c>
      <c r="E17" s="44" t="s">
        <v>133</v>
      </c>
      <c r="F17" s="43" t="s">
        <v>142</v>
      </c>
      <c r="G17" s="44" t="s">
        <v>111</v>
      </c>
      <c r="H17" s="45" t="s">
        <v>143</v>
      </c>
      <c r="I17" s="44" t="s">
        <v>113</v>
      </c>
      <c r="J17" s="46" t="n">
        <v>1</v>
      </c>
      <c r="K17" s="47" t="n">
        <v>3800</v>
      </c>
      <c r="L17" s="48" t="n">
        <f aca="false">J17*K17</f>
        <v>3800</v>
      </c>
      <c r="M17" s="49" t="n">
        <f aca="false">K17*(1+Parâmetros!$B$5)</f>
        <v>5130</v>
      </c>
      <c r="N17" s="48" t="n">
        <f aca="false">J17*M17</f>
        <v>5130</v>
      </c>
      <c r="O17" s="49" t="n">
        <f aca="false">K17*(1+Parâmetros!$B$6)</f>
        <v>5320</v>
      </c>
      <c r="P17" s="48" t="n">
        <f aca="false">J17*O17</f>
        <v>5320</v>
      </c>
      <c r="Q17" s="49" t="n">
        <f aca="false">K17*(1+Parâmetros!$B$7)</f>
        <v>5225</v>
      </c>
      <c r="R17" s="48" t="n">
        <f aca="false">J17*Q17</f>
        <v>5225</v>
      </c>
      <c r="S17" s="48" t="n">
        <f aca="false">R17-L17</f>
        <v>1425</v>
      </c>
    </row>
    <row r="18" customFormat="false" ht="15" hidden="false" customHeight="false" outlineLevel="0" collapsed="false">
      <c r="A18" s="36" t="s">
        <v>53</v>
      </c>
      <c r="B18" s="36" t="s">
        <v>54</v>
      </c>
      <c r="C18" s="36" t="s">
        <v>144</v>
      </c>
      <c r="D18" s="37" t="s">
        <v>109</v>
      </c>
      <c r="E18" s="37"/>
      <c r="F18" s="36" t="s">
        <v>145</v>
      </c>
      <c r="G18" s="37" t="s">
        <v>146</v>
      </c>
      <c r="H18" s="38" t="s">
        <v>147</v>
      </c>
      <c r="I18" s="37" t="s">
        <v>148</v>
      </c>
      <c r="J18" s="39" t="n">
        <v>2159.3</v>
      </c>
      <c r="K18" s="40" t="n">
        <v>15</v>
      </c>
      <c r="L18" s="41" t="n">
        <f aca="false">J18*K18</f>
        <v>32389.5</v>
      </c>
      <c r="M18" s="42" t="n">
        <f aca="false">K18*(1+Parâmetros!$B$5)</f>
        <v>20.25</v>
      </c>
      <c r="N18" s="41" t="n">
        <f aca="false">J18*M18</f>
        <v>43725.825</v>
      </c>
      <c r="O18" s="42" t="n">
        <f aca="false">K18*(1+Parâmetros!$B$6)</f>
        <v>21</v>
      </c>
      <c r="P18" s="41" t="n">
        <f aca="false">J18*O18</f>
        <v>45345.3</v>
      </c>
      <c r="Q18" s="42" t="n">
        <f aca="false">K18*(1+Parâmetros!$B$7)</f>
        <v>20.625</v>
      </c>
      <c r="R18" s="41" t="n">
        <f aca="false">J18*Q18</f>
        <v>44535.5625</v>
      </c>
      <c r="S18" s="41" t="n">
        <f aca="false">R18-L18</f>
        <v>12146.0625</v>
      </c>
    </row>
    <row r="19" customFormat="false" ht="15" hidden="false" customHeight="false" outlineLevel="0" collapsed="false">
      <c r="A19" s="36" t="s">
        <v>53</v>
      </c>
      <c r="B19" s="36" t="s">
        <v>54</v>
      </c>
      <c r="C19" s="36" t="s">
        <v>144</v>
      </c>
      <c r="D19" s="37" t="s">
        <v>109</v>
      </c>
      <c r="E19" s="37"/>
      <c r="F19" s="36" t="s">
        <v>149</v>
      </c>
      <c r="G19" s="37" t="s">
        <v>150</v>
      </c>
      <c r="H19" s="38" t="s">
        <v>151</v>
      </c>
      <c r="I19" s="37" t="s">
        <v>148</v>
      </c>
      <c r="J19" s="39" t="n">
        <v>8709.7</v>
      </c>
      <c r="K19" s="40" t="n">
        <v>18</v>
      </c>
      <c r="L19" s="41" t="n">
        <f aca="false">J19*K19</f>
        <v>156774.6</v>
      </c>
      <c r="M19" s="42" t="n">
        <f aca="false">K19*(1+Parâmetros!$B$5)</f>
        <v>24.3</v>
      </c>
      <c r="N19" s="41" t="n">
        <f aca="false">J19*M19</f>
        <v>211645.71</v>
      </c>
      <c r="O19" s="42" t="n">
        <f aca="false">K19*(1+Parâmetros!$B$6)</f>
        <v>25.2</v>
      </c>
      <c r="P19" s="41" t="n">
        <f aca="false">J19*O19</f>
        <v>219484.44</v>
      </c>
      <c r="Q19" s="42" t="n">
        <f aca="false">K19*(1+Parâmetros!$B$7)</f>
        <v>24.75</v>
      </c>
      <c r="R19" s="41" t="n">
        <f aca="false">J19*Q19</f>
        <v>215565.075</v>
      </c>
      <c r="S19" s="41" t="n">
        <f aca="false">R19-L19</f>
        <v>58790.475</v>
      </c>
    </row>
    <row r="20" customFormat="false" ht="15" hidden="false" customHeight="false" outlineLevel="0" collapsed="false">
      <c r="A20" s="36" t="s">
        <v>53</v>
      </c>
      <c r="B20" s="36" t="s">
        <v>54</v>
      </c>
      <c r="C20" s="36" t="s">
        <v>108</v>
      </c>
      <c r="D20" s="37" t="s">
        <v>109</v>
      </c>
      <c r="E20" s="37"/>
      <c r="F20" s="36" t="s">
        <v>110</v>
      </c>
      <c r="G20" s="37" t="s">
        <v>152</v>
      </c>
      <c r="H20" s="38" t="s">
        <v>147</v>
      </c>
      <c r="I20" s="37" t="s">
        <v>148</v>
      </c>
      <c r="J20" s="39" t="n">
        <v>2661.5</v>
      </c>
      <c r="K20" s="40" t="n">
        <v>15</v>
      </c>
      <c r="L20" s="41" t="n">
        <f aca="false">J20*K20</f>
        <v>39922.5</v>
      </c>
      <c r="M20" s="42" t="n">
        <f aca="false">K20*(1+Parâmetros!$B$5)</f>
        <v>20.25</v>
      </c>
      <c r="N20" s="41" t="n">
        <f aca="false">J20*M20</f>
        <v>53895.375</v>
      </c>
      <c r="O20" s="42" t="n">
        <f aca="false">K20*(1+Parâmetros!$B$6)</f>
        <v>21</v>
      </c>
      <c r="P20" s="41" t="n">
        <f aca="false">J20*O20</f>
        <v>55891.5</v>
      </c>
      <c r="Q20" s="42" t="n">
        <f aca="false">K20*(1+Parâmetros!$B$7)</f>
        <v>20.625</v>
      </c>
      <c r="R20" s="41" t="n">
        <f aca="false">J20*Q20</f>
        <v>54893.4375</v>
      </c>
      <c r="S20" s="41" t="n">
        <f aca="false">R20-L20</f>
        <v>14970.9375</v>
      </c>
    </row>
    <row r="21" customFormat="false" ht="15" hidden="false" customHeight="false" outlineLevel="0" collapsed="false">
      <c r="A21" s="36" t="s">
        <v>53</v>
      </c>
      <c r="B21" s="36" t="s">
        <v>54</v>
      </c>
      <c r="C21" s="36" t="s">
        <v>108</v>
      </c>
      <c r="D21" s="37" t="s">
        <v>109</v>
      </c>
      <c r="E21" s="37"/>
      <c r="F21" s="36" t="s">
        <v>153</v>
      </c>
      <c r="G21" s="37" t="s">
        <v>152</v>
      </c>
      <c r="H21" s="38" t="s">
        <v>151</v>
      </c>
      <c r="I21" s="37" t="s">
        <v>148</v>
      </c>
      <c r="J21" s="39" t="n">
        <v>709.5</v>
      </c>
      <c r="K21" s="40" t="n">
        <v>18</v>
      </c>
      <c r="L21" s="41" t="n">
        <f aca="false">J21*K21</f>
        <v>12771</v>
      </c>
      <c r="M21" s="42" t="n">
        <f aca="false">K21*(1+Parâmetros!$B$5)</f>
        <v>24.3</v>
      </c>
      <c r="N21" s="41" t="n">
        <f aca="false">J21*M21</f>
        <v>17240.85</v>
      </c>
      <c r="O21" s="42" t="n">
        <f aca="false">K21*(1+Parâmetros!$B$6)</f>
        <v>25.2</v>
      </c>
      <c r="P21" s="41" t="n">
        <f aca="false">J21*O21</f>
        <v>17879.4</v>
      </c>
      <c r="Q21" s="42" t="n">
        <f aca="false">K21*(1+Parâmetros!$B$7)</f>
        <v>24.75</v>
      </c>
      <c r="R21" s="41" t="n">
        <f aca="false">J21*Q21</f>
        <v>17560.125</v>
      </c>
      <c r="S21" s="41" t="n">
        <f aca="false">R21-L21</f>
        <v>4789.125</v>
      </c>
    </row>
    <row r="22" customFormat="false" ht="15" hidden="false" customHeight="false" outlineLevel="0" collapsed="false">
      <c r="A22" s="43" t="s">
        <v>53</v>
      </c>
      <c r="B22" s="43" t="s">
        <v>54</v>
      </c>
      <c r="C22" s="43" t="s">
        <v>144</v>
      </c>
      <c r="D22" s="44" t="s">
        <v>114</v>
      </c>
      <c r="E22" s="44" t="s">
        <v>154</v>
      </c>
      <c r="F22" s="43" t="s">
        <v>145</v>
      </c>
      <c r="G22" s="44" t="s">
        <v>146</v>
      </c>
      <c r="H22" s="45" t="s">
        <v>147</v>
      </c>
      <c r="I22" s="44" t="s">
        <v>148</v>
      </c>
      <c r="J22" s="46" t="n">
        <v>1982.43</v>
      </c>
      <c r="K22" s="47" t="n">
        <v>15</v>
      </c>
      <c r="L22" s="48" t="n">
        <f aca="false">J22*K22</f>
        <v>29736.45</v>
      </c>
      <c r="M22" s="49" t="n">
        <f aca="false">K22*(1+Parâmetros!$B$5)</f>
        <v>20.25</v>
      </c>
      <c r="N22" s="48" t="n">
        <f aca="false">J22*M22</f>
        <v>40144.2075</v>
      </c>
      <c r="O22" s="49" t="n">
        <f aca="false">K22*(1+Parâmetros!$B$6)</f>
        <v>21</v>
      </c>
      <c r="P22" s="48" t="n">
        <f aca="false">J22*O22</f>
        <v>41631.03</v>
      </c>
      <c r="Q22" s="49" t="n">
        <f aca="false">K22*(1+Parâmetros!$B$7)</f>
        <v>20.625</v>
      </c>
      <c r="R22" s="48" t="n">
        <f aca="false">J22*Q22</f>
        <v>40887.61875</v>
      </c>
      <c r="S22" s="48" t="n">
        <f aca="false">R22-L22</f>
        <v>11151.16875</v>
      </c>
    </row>
    <row r="23" customFormat="false" ht="15" hidden="false" customHeight="false" outlineLevel="0" collapsed="false">
      <c r="A23" s="43" t="s">
        <v>53</v>
      </c>
      <c r="B23" s="43" t="s">
        <v>54</v>
      </c>
      <c r="C23" s="43" t="s">
        <v>144</v>
      </c>
      <c r="D23" s="44" t="s">
        <v>114</v>
      </c>
      <c r="E23" s="44" t="s">
        <v>154</v>
      </c>
      <c r="F23" s="43" t="s">
        <v>149</v>
      </c>
      <c r="G23" s="44" t="s">
        <v>150</v>
      </c>
      <c r="H23" s="45" t="s">
        <v>151</v>
      </c>
      <c r="I23" s="44" t="s">
        <v>148</v>
      </c>
      <c r="J23" s="46" t="n">
        <v>1393.32</v>
      </c>
      <c r="K23" s="47" t="n">
        <v>18</v>
      </c>
      <c r="L23" s="48" t="n">
        <f aca="false">J23*K23</f>
        <v>25079.76</v>
      </c>
      <c r="M23" s="49" t="n">
        <f aca="false">K23*(1+Parâmetros!$B$5)</f>
        <v>24.3</v>
      </c>
      <c r="N23" s="48" t="n">
        <f aca="false">J23*M23</f>
        <v>33857.676</v>
      </c>
      <c r="O23" s="49" t="n">
        <f aca="false">K23*(1+Parâmetros!$B$6)</f>
        <v>25.2</v>
      </c>
      <c r="P23" s="48" t="n">
        <f aca="false">J23*O23</f>
        <v>35111.664</v>
      </c>
      <c r="Q23" s="49" t="n">
        <f aca="false">K23*(1+Parâmetros!$B$7)</f>
        <v>24.75</v>
      </c>
      <c r="R23" s="48" t="n">
        <f aca="false">J23*Q23</f>
        <v>34484.67</v>
      </c>
      <c r="S23" s="48" t="n">
        <f aca="false">R23-L23</f>
        <v>9404.91</v>
      </c>
    </row>
    <row r="24" customFormat="false" ht="41.75" hidden="false" customHeight="false" outlineLevel="0" collapsed="false">
      <c r="A24" s="36" t="s">
        <v>59</v>
      </c>
      <c r="B24" s="36" t="s">
        <v>60</v>
      </c>
      <c r="C24" s="36" t="s">
        <v>144</v>
      </c>
      <c r="D24" s="37" t="s">
        <v>109</v>
      </c>
      <c r="E24" s="37"/>
      <c r="F24" s="36" t="s">
        <v>110</v>
      </c>
      <c r="G24" s="37" t="s">
        <v>155</v>
      </c>
      <c r="H24" s="38" t="s">
        <v>156</v>
      </c>
      <c r="I24" s="37" t="s">
        <v>148</v>
      </c>
      <c r="J24" s="39" t="n">
        <v>500</v>
      </c>
      <c r="K24" s="40" t="n">
        <v>65</v>
      </c>
      <c r="L24" s="41" t="n">
        <f aca="false">J24*K24</f>
        <v>32500</v>
      </c>
      <c r="M24" s="42" t="n">
        <f aca="false">K24*(1+Parâmetros!$B$5)</f>
        <v>87.75</v>
      </c>
      <c r="N24" s="41" t="n">
        <f aca="false">J24*M24</f>
        <v>43875</v>
      </c>
      <c r="O24" s="42" t="n">
        <f aca="false">K24*(1+Parâmetros!$B$6)</f>
        <v>91</v>
      </c>
      <c r="P24" s="41" t="n">
        <f aca="false">J24*O24</f>
        <v>45500</v>
      </c>
      <c r="Q24" s="42" t="n">
        <f aca="false">K24*(1+Parâmetros!$B$7)</f>
        <v>89.375</v>
      </c>
      <c r="R24" s="41" t="n">
        <f aca="false">J24*Q24</f>
        <v>44687.5</v>
      </c>
      <c r="S24" s="41" t="n">
        <f aca="false">R24-L24</f>
        <v>12187.5</v>
      </c>
    </row>
    <row r="25" customFormat="false" ht="41.75" hidden="false" customHeight="false" outlineLevel="0" collapsed="false">
      <c r="A25" s="43" t="s">
        <v>59</v>
      </c>
      <c r="B25" s="43" t="s">
        <v>60</v>
      </c>
      <c r="C25" s="43" t="s">
        <v>144</v>
      </c>
      <c r="D25" s="44" t="s">
        <v>114</v>
      </c>
      <c r="E25" s="44" t="s">
        <v>123</v>
      </c>
      <c r="F25" s="43" t="s">
        <v>110</v>
      </c>
      <c r="G25" s="44" t="s">
        <v>155</v>
      </c>
      <c r="H25" s="45" t="s">
        <v>156</v>
      </c>
      <c r="I25" s="44" t="s">
        <v>148</v>
      </c>
      <c r="J25" s="46" t="n">
        <v>700</v>
      </c>
      <c r="K25" s="47" t="n">
        <v>65</v>
      </c>
      <c r="L25" s="48" t="n">
        <f aca="false">J25*K25</f>
        <v>45500</v>
      </c>
      <c r="M25" s="49" t="n">
        <f aca="false">K25*(1+Parâmetros!$B$5)</f>
        <v>87.75</v>
      </c>
      <c r="N25" s="48" t="n">
        <f aca="false">J25*M25</f>
        <v>61425</v>
      </c>
      <c r="O25" s="49" t="n">
        <f aca="false">K25*(1+Parâmetros!$B$6)</f>
        <v>91</v>
      </c>
      <c r="P25" s="48" t="n">
        <f aca="false">J25*O25</f>
        <v>63700</v>
      </c>
      <c r="Q25" s="49" t="n">
        <f aca="false">K25*(1+Parâmetros!$B$7)</f>
        <v>89.375</v>
      </c>
      <c r="R25" s="48" t="n">
        <f aca="false">J25*Q25</f>
        <v>62562.5</v>
      </c>
      <c r="S25" s="48" t="n">
        <f aca="false">R25-L25</f>
        <v>17062.5</v>
      </c>
    </row>
    <row r="26" customFormat="false" ht="41.75" hidden="false" customHeight="false" outlineLevel="0" collapsed="false">
      <c r="A26" s="43" t="s">
        <v>59</v>
      </c>
      <c r="B26" s="43" t="s">
        <v>60</v>
      </c>
      <c r="C26" s="43" t="s">
        <v>144</v>
      </c>
      <c r="D26" s="44" t="s">
        <v>122</v>
      </c>
      <c r="E26" s="44" t="s">
        <v>76</v>
      </c>
      <c r="F26" s="43" t="s">
        <v>110</v>
      </c>
      <c r="G26" s="44" t="s">
        <v>155</v>
      </c>
      <c r="H26" s="45" t="s">
        <v>156</v>
      </c>
      <c r="I26" s="44" t="s">
        <v>148</v>
      </c>
      <c r="J26" s="46" t="n">
        <v>203.75</v>
      </c>
      <c r="K26" s="47" t="n">
        <v>65</v>
      </c>
      <c r="L26" s="48" t="n">
        <f aca="false">J26*K26</f>
        <v>13243.75</v>
      </c>
      <c r="M26" s="49" t="n">
        <f aca="false">K26*(1+Parâmetros!$B$5)</f>
        <v>87.75</v>
      </c>
      <c r="N26" s="48" t="n">
        <f aca="false">J26*M26</f>
        <v>17879.0625</v>
      </c>
      <c r="O26" s="49" t="n">
        <f aca="false">K26*(1+Parâmetros!$B$6)</f>
        <v>91</v>
      </c>
      <c r="P26" s="48" t="n">
        <f aca="false">J26*O26</f>
        <v>18541.25</v>
      </c>
      <c r="Q26" s="49" t="n">
        <f aca="false">K26*(1+Parâmetros!$B$7)</f>
        <v>89.375</v>
      </c>
      <c r="R26" s="48" t="n">
        <f aca="false">J26*Q26</f>
        <v>18210.15625</v>
      </c>
      <c r="S26" s="48" t="n">
        <f aca="false">R26-L26</f>
        <v>4966.40625</v>
      </c>
    </row>
    <row r="27" customFormat="false" ht="15" hidden="false" customHeight="false" outlineLevel="0" collapsed="false">
      <c r="A27" s="43" t="s">
        <v>59</v>
      </c>
      <c r="B27" s="43" t="s">
        <v>60</v>
      </c>
      <c r="C27" s="43" t="s">
        <v>144</v>
      </c>
      <c r="D27" s="44" t="s">
        <v>122</v>
      </c>
      <c r="E27" s="44" t="s">
        <v>76</v>
      </c>
      <c r="F27" s="43" t="s">
        <v>116</v>
      </c>
      <c r="G27" s="44" t="s">
        <v>157</v>
      </c>
      <c r="H27" s="45" t="s">
        <v>158</v>
      </c>
      <c r="I27" s="44" t="s">
        <v>159</v>
      </c>
      <c r="J27" s="46" t="n">
        <v>301.2</v>
      </c>
      <c r="K27" s="47" t="n">
        <v>20</v>
      </c>
      <c r="L27" s="48" t="n">
        <f aca="false">J27*K27</f>
        <v>6024</v>
      </c>
      <c r="M27" s="49" t="n">
        <f aca="false">K27*(1+Parâmetros!$B$5)</f>
        <v>27</v>
      </c>
      <c r="N27" s="48" t="n">
        <f aca="false">J27*M27</f>
        <v>8132.4</v>
      </c>
      <c r="O27" s="49" t="n">
        <f aca="false">K27*(1+Parâmetros!$B$6)</f>
        <v>28</v>
      </c>
      <c r="P27" s="48" t="n">
        <f aca="false">J27*O27</f>
        <v>8433.6</v>
      </c>
      <c r="Q27" s="49" t="n">
        <f aca="false">K27*(1+Parâmetros!$B$7)</f>
        <v>27.5</v>
      </c>
      <c r="R27" s="48" t="n">
        <f aca="false">J27*Q27</f>
        <v>8283</v>
      </c>
      <c r="S27" s="48" t="n">
        <f aca="false">R27-L27</f>
        <v>2259</v>
      </c>
    </row>
    <row r="28" customFormat="false" ht="15" hidden="false" customHeight="false" outlineLevel="0" collapsed="false">
      <c r="A28" s="43" t="s">
        <v>59</v>
      </c>
      <c r="B28" s="43" t="s">
        <v>60</v>
      </c>
      <c r="C28" s="43" t="s">
        <v>144</v>
      </c>
      <c r="D28" s="44" t="s">
        <v>122</v>
      </c>
      <c r="E28" s="44" t="s">
        <v>76</v>
      </c>
      <c r="F28" s="43" t="s">
        <v>118</v>
      </c>
      <c r="G28" s="44" t="s">
        <v>155</v>
      </c>
      <c r="H28" s="45" t="s">
        <v>160</v>
      </c>
      <c r="I28" s="44" t="s">
        <v>148</v>
      </c>
      <c r="J28" s="46" t="n">
        <v>317.77</v>
      </c>
      <c r="K28" s="47" t="n">
        <v>30</v>
      </c>
      <c r="L28" s="48" t="n">
        <f aca="false">J28*K28</f>
        <v>9533.1</v>
      </c>
      <c r="M28" s="49" t="n">
        <f aca="false">K28*(1+Parâmetros!$B$5)</f>
        <v>40.5</v>
      </c>
      <c r="N28" s="48" t="n">
        <f aca="false">J28*M28</f>
        <v>12869.685</v>
      </c>
      <c r="O28" s="49" t="n">
        <f aca="false">K28*(1+Parâmetros!$B$6)</f>
        <v>42</v>
      </c>
      <c r="P28" s="48" t="n">
        <f aca="false">J28*O28</f>
        <v>13346.34</v>
      </c>
      <c r="Q28" s="49" t="n">
        <f aca="false">K28*(1+Parâmetros!$B$7)</f>
        <v>41.25</v>
      </c>
      <c r="R28" s="48" t="n">
        <f aca="false">J28*Q28</f>
        <v>13108.0125</v>
      </c>
      <c r="S28" s="48" t="n">
        <f aca="false">R28-L28</f>
        <v>3574.9125</v>
      </c>
    </row>
    <row r="29" customFormat="false" ht="15" hidden="false" customHeight="false" outlineLevel="0" collapsed="false">
      <c r="A29" s="43" t="s">
        <v>59</v>
      </c>
      <c r="B29" s="43" t="s">
        <v>60</v>
      </c>
      <c r="C29" s="43" t="s">
        <v>144</v>
      </c>
      <c r="D29" s="44" t="s">
        <v>122</v>
      </c>
      <c r="E29" s="44" t="s">
        <v>76</v>
      </c>
      <c r="F29" s="43" t="s">
        <v>120</v>
      </c>
      <c r="G29" s="44" t="s">
        <v>155</v>
      </c>
      <c r="H29" s="45" t="s">
        <v>161</v>
      </c>
      <c r="I29" s="44" t="s">
        <v>148</v>
      </c>
      <c r="J29" s="46" t="n">
        <v>253.46</v>
      </c>
      <c r="K29" s="47" t="n">
        <v>70</v>
      </c>
      <c r="L29" s="48" t="n">
        <f aca="false">J29*K29</f>
        <v>17742.2</v>
      </c>
      <c r="M29" s="49" t="n">
        <f aca="false">K29*(1+Parâmetros!$B$5)</f>
        <v>94.5</v>
      </c>
      <c r="N29" s="48" t="n">
        <f aca="false">J29*M29</f>
        <v>23951.97</v>
      </c>
      <c r="O29" s="49" t="n">
        <f aca="false">K29*(1+Parâmetros!$B$6)</f>
        <v>98</v>
      </c>
      <c r="P29" s="48" t="n">
        <f aca="false">J29*O29</f>
        <v>24839.08</v>
      </c>
      <c r="Q29" s="49" t="n">
        <f aca="false">K29*(1+Parâmetros!$B$7)</f>
        <v>96.25</v>
      </c>
      <c r="R29" s="48" t="n">
        <f aca="false">J29*Q29</f>
        <v>24395.525</v>
      </c>
      <c r="S29" s="48" t="n">
        <f aca="false">R29-L29</f>
        <v>6653.325</v>
      </c>
    </row>
    <row r="30" customFormat="false" ht="15" hidden="false" customHeight="false" outlineLevel="0" collapsed="false">
      <c r="A30" s="36" t="s">
        <v>65</v>
      </c>
      <c r="B30" s="36" t="s">
        <v>66</v>
      </c>
      <c r="C30" s="36" t="s">
        <v>144</v>
      </c>
      <c r="D30" s="37" t="s">
        <v>109</v>
      </c>
      <c r="E30" s="37"/>
      <c r="F30" s="36" t="s">
        <v>110</v>
      </c>
      <c r="G30" s="37" t="s">
        <v>162</v>
      </c>
      <c r="H30" s="38" t="s">
        <v>163</v>
      </c>
      <c r="I30" s="37" t="s">
        <v>148</v>
      </c>
      <c r="J30" s="39" t="n">
        <v>1199.04</v>
      </c>
      <c r="K30" s="40" t="n">
        <v>80</v>
      </c>
      <c r="L30" s="41" t="n">
        <f aca="false">J30*K30</f>
        <v>95923.2</v>
      </c>
      <c r="M30" s="42" t="n">
        <f aca="false">K30*(1+Parâmetros!$B$5)</f>
        <v>108</v>
      </c>
      <c r="N30" s="41" t="n">
        <f aca="false">J30*M30</f>
        <v>129496.32</v>
      </c>
      <c r="O30" s="42" t="n">
        <f aca="false">K30*(1+Parâmetros!$B$6)</f>
        <v>112</v>
      </c>
      <c r="P30" s="41" t="n">
        <f aca="false">J30*O30</f>
        <v>134292.48</v>
      </c>
      <c r="Q30" s="42" t="n">
        <f aca="false">K30*(1+Parâmetros!$B$7)</f>
        <v>110</v>
      </c>
      <c r="R30" s="41" t="n">
        <f aca="false">J30*Q30</f>
        <v>131894.4</v>
      </c>
      <c r="S30" s="41" t="n">
        <f aca="false">R30-L30</f>
        <v>35971.2</v>
      </c>
    </row>
    <row r="31" customFormat="false" ht="28.35" hidden="false" customHeight="false" outlineLevel="0" collapsed="false">
      <c r="A31" s="36" t="s">
        <v>71</v>
      </c>
      <c r="B31" s="36" t="s">
        <v>72</v>
      </c>
      <c r="C31" s="36" t="s">
        <v>144</v>
      </c>
      <c r="D31" s="37" t="s">
        <v>109</v>
      </c>
      <c r="E31" s="37"/>
      <c r="F31" s="36" t="s">
        <v>110</v>
      </c>
      <c r="G31" s="37" t="s">
        <v>164</v>
      </c>
      <c r="H31" s="38" t="s">
        <v>165</v>
      </c>
      <c r="I31" s="37" t="s">
        <v>113</v>
      </c>
      <c r="J31" s="39" t="n">
        <v>1</v>
      </c>
      <c r="K31" s="40" t="n">
        <v>60000</v>
      </c>
      <c r="L31" s="41" t="n">
        <f aca="false">J31*K31</f>
        <v>60000</v>
      </c>
      <c r="M31" s="42" t="n">
        <f aca="false">K31*(1+Parâmetros!$B$5)</f>
        <v>81000</v>
      </c>
      <c r="N31" s="41" t="n">
        <f aca="false">J31*M31</f>
        <v>81000</v>
      </c>
      <c r="O31" s="42" t="n">
        <f aca="false">K31*(1+Parâmetros!$B$6)</f>
        <v>84000</v>
      </c>
      <c r="P31" s="41" t="n">
        <f aca="false">J31*O31</f>
        <v>84000</v>
      </c>
      <c r="Q31" s="42" t="n">
        <f aca="false">K31*(1+Parâmetros!$B$7)</f>
        <v>82500</v>
      </c>
      <c r="R31" s="41" t="n">
        <f aca="false">J31*Q31</f>
        <v>82500</v>
      </c>
      <c r="S31" s="41" t="n">
        <f aca="false">R31-L31</f>
        <v>22500</v>
      </c>
    </row>
    <row r="32" customFormat="false" ht="55.2" hidden="false" customHeight="false" outlineLevel="0" collapsed="false">
      <c r="A32" s="43" t="s">
        <v>71</v>
      </c>
      <c r="B32" s="43" t="s">
        <v>72</v>
      </c>
      <c r="C32" s="43" t="s">
        <v>144</v>
      </c>
      <c r="D32" s="44" t="s">
        <v>114</v>
      </c>
      <c r="E32" s="44" t="s">
        <v>166</v>
      </c>
      <c r="F32" s="43" t="s">
        <v>116</v>
      </c>
      <c r="G32" s="44" t="s">
        <v>164</v>
      </c>
      <c r="H32" s="45" t="s">
        <v>167</v>
      </c>
      <c r="I32" s="44" t="s">
        <v>113</v>
      </c>
      <c r="J32" s="46" t="n">
        <v>1</v>
      </c>
      <c r="K32" s="47" t="n">
        <v>37671</v>
      </c>
      <c r="L32" s="48" t="n">
        <f aca="false">J32*K32</f>
        <v>37671</v>
      </c>
      <c r="M32" s="49" t="n">
        <f aca="false">K32*(1+Parâmetros!$B$5)</f>
        <v>50855.85</v>
      </c>
      <c r="N32" s="48" t="n">
        <f aca="false">J32*M32</f>
        <v>50855.85</v>
      </c>
      <c r="O32" s="49" t="n">
        <f aca="false">K32*(1+Parâmetros!$B$6)</f>
        <v>52739.4</v>
      </c>
      <c r="P32" s="48" t="n">
        <f aca="false">J32*O32</f>
        <v>52739.4</v>
      </c>
      <c r="Q32" s="49" t="n">
        <f aca="false">K32*(1+Parâmetros!$B$7)</f>
        <v>51797.625</v>
      </c>
      <c r="R32" s="48" t="n">
        <f aca="false">J32*Q32</f>
        <v>51797.625</v>
      </c>
      <c r="S32" s="48" t="n">
        <f aca="false">R32-L32</f>
        <v>14126.625</v>
      </c>
    </row>
    <row r="33" customFormat="false" ht="41.75" hidden="false" customHeight="false" outlineLevel="0" collapsed="false">
      <c r="A33" s="36" t="s">
        <v>77</v>
      </c>
      <c r="B33" s="36" t="s">
        <v>78</v>
      </c>
      <c r="C33" s="36" t="s">
        <v>108</v>
      </c>
      <c r="D33" s="37" t="s">
        <v>109</v>
      </c>
      <c r="E33" s="37"/>
      <c r="F33" s="36" t="s">
        <v>110</v>
      </c>
      <c r="G33" s="37" t="s">
        <v>168</v>
      </c>
      <c r="H33" s="38" t="s">
        <v>169</v>
      </c>
      <c r="I33" s="37" t="s">
        <v>148</v>
      </c>
      <c r="J33" s="39" t="n">
        <v>62.83</v>
      </c>
      <c r="K33" s="40" t="n">
        <v>55</v>
      </c>
      <c r="L33" s="41" t="n">
        <f aca="false">J33*K33</f>
        <v>3455.65</v>
      </c>
      <c r="M33" s="42" t="n">
        <f aca="false">K33*(1+Parâmetros!$B$5)</f>
        <v>74.25</v>
      </c>
      <c r="N33" s="41" t="n">
        <f aca="false">J33*M33</f>
        <v>4665.1275</v>
      </c>
      <c r="O33" s="42" t="n">
        <f aca="false">K33*(1+Parâmetros!$B$6)</f>
        <v>77</v>
      </c>
      <c r="P33" s="41" t="n">
        <f aca="false">J33*O33</f>
        <v>4837.91</v>
      </c>
      <c r="Q33" s="42" t="n">
        <f aca="false">K33*(1+Parâmetros!$B$7)</f>
        <v>75.625</v>
      </c>
      <c r="R33" s="41" t="n">
        <f aca="false">J33*Q33</f>
        <v>4751.51875</v>
      </c>
      <c r="S33" s="41" t="n">
        <f aca="false">R33-L33</f>
        <v>1295.86875</v>
      </c>
    </row>
    <row r="34" customFormat="false" ht="15" hidden="false" customHeight="false" outlineLevel="0" collapsed="false">
      <c r="A34" s="36" t="s">
        <v>77</v>
      </c>
      <c r="B34" s="36" t="s">
        <v>78</v>
      </c>
      <c r="C34" s="36" t="s">
        <v>108</v>
      </c>
      <c r="D34" s="37" t="s">
        <v>109</v>
      </c>
      <c r="E34" s="37"/>
      <c r="F34" s="36" t="s">
        <v>153</v>
      </c>
      <c r="G34" s="37" t="s">
        <v>170</v>
      </c>
      <c r="H34" s="38" t="s">
        <v>171</v>
      </c>
      <c r="I34" s="37" t="s">
        <v>148</v>
      </c>
      <c r="J34" s="39" t="n">
        <v>220</v>
      </c>
      <c r="K34" s="40" t="n">
        <v>60</v>
      </c>
      <c r="L34" s="41" t="n">
        <f aca="false">J34*K34</f>
        <v>13200</v>
      </c>
      <c r="M34" s="42" t="n">
        <f aca="false">K34*(1+Parâmetros!$B$5)</f>
        <v>81</v>
      </c>
      <c r="N34" s="41" t="n">
        <f aca="false">J34*M34</f>
        <v>17820</v>
      </c>
      <c r="O34" s="42" t="n">
        <f aca="false">K34*(1+Parâmetros!$B$6)</f>
        <v>84</v>
      </c>
      <c r="P34" s="41" t="n">
        <f aca="false">J34*O34</f>
        <v>18480</v>
      </c>
      <c r="Q34" s="42" t="n">
        <f aca="false">K34*(1+Parâmetros!$B$7)</f>
        <v>82.5</v>
      </c>
      <c r="R34" s="41" t="n">
        <f aca="false">J34*Q34</f>
        <v>18150</v>
      </c>
      <c r="S34" s="41" t="n">
        <f aca="false">R34-L34</f>
        <v>4950</v>
      </c>
    </row>
    <row r="35" customFormat="false" ht="15" hidden="false" customHeight="false" outlineLevel="0" collapsed="false">
      <c r="A35" s="36" t="s">
        <v>77</v>
      </c>
      <c r="B35" s="36" t="s">
        <v>78</v>
      </c>
      <c r="C35" s="36" t="s">
        <v>108</v>
      </c>
      <c r="D35" s="37" t="s">
        <v>109</v>
      </c>
      <c r="E35" s="37"/>
      <c r="F35" s="36" t="s">
        <v>172</v>
      </c>
      <c r="G35" s="37" t="s">
        <v>170</v>
      </c>
      <c r="H35" s="38" t="s">
        <v>173</v>
      </c>
      <c r="I35" s="37" t="s">
        <v>148</v>
      </c>
      <c r="J35" s="39" t="n">
        <v>30</v>
      </c>
      <c r="K35" s="40" t="n">
        <v>20</v>
      </c>
      <c r="L35" s="41" t="n">
        <f aca="false">J35*K35</f>
        <v>600</v>
      </c>
      <c r="M35" s="42" t="n">
        <f aca="false">K35*(1+Parâmetros!$B$5)</f>
        <v>27</v>
      </c>
      <c r="N35" s="41" t="n">
        <f aca="false">J35*M35</f>
        <v>810</v>
      </c>
      <c r="O35" s="42" t="n">
        <f aca="false">K35*(1+Parâmetros!$B$6)</f>
        <v>28</v>
      </c>
      <c r="P35" s="41" t="n">
        <f aca="false">J35*O35</f>
        <v>840</v>
      </c>
      <c r="Q35" s="42" t="n">
        <f aca="false">K35*(1+Parâmetros!$B$7)</f>
        <v>27.5</v>
      </c>
      <c r="R35" s="41" t="n">
        <f aca="false">J35*Q35</f>
        <v>825</v>
      </c>
      <c r="S35" s="41" t="n">
        <f aca="false">R35-L35</f>
        <v>225</v>
      </c>
    </row>
    <row r="36" customFormat="false" ht="15" hidden="false" customHeight="false" outlineLevel="0" collapsed="false">
      <c r="A36" s="36" t="s">
        <v>77</v>
      </c>
      <c r="B36" s="36" t="s">
        <v>78</v>
      </c>
      <c r="C36" s="36" t="s">
        <v>108</v>
      </c>
      <c r="D36" s="37" t="s">
        <v>109</v>
      </c>
      <c r="E36" s="37"/>
      <c r="F36" s="36" t="s">
        <v>174</v>
      </c>
      <c r="G36" s="37" t="s">
        <v>170</v>
      </c>
      <c r="H36" s="38" t="s">
        <v>175</v>
      </c>
      <c r="I36" s="37" t="s">
        <v>148</v>
      </c>
      <c r="J36" s="39" t="n">
        <v>115</v>
      </c>
      <c r="K36" s="40" t="n">
        <v>50</v>
      </c>
      <c r="L36" s="41" t="n">
        <f aca="false">J36*K36</f>
        <v>5750</v>
      </c>
      <c r="M36" s="42" t="n">
        <f aca="false">K36*(1+Parâmetros!$B$5)</f>
        <v>67.5</v>
      </c>
      <c r="N36" s="41" t="n">
        <f aca="false">J36*M36</f>
        <v>7762.5</v>
      </c>
      <c r="O36" s="42" t="n">
        <f aca="false">K36*(1+Parâmetros!$B$6)</f>
        <v>70</v>
      </c>
      <c r="P36" s="41" t="n">
        <f aca="false">J36*O36</f>
        <v>8050</v>
      </c>
      <c r="Q36" s="42" t="n">
        <f aca="false">K36*(1+Parâmetros!$B$7)</f>
        <v>68.75</v>
      </c>
      <c r="R36" s="41" t="n">
        <f aca="false">J36*Q36</f>
        <v>7906.25</v>
      </c>
      <c r="S36" s="41" t="n">
        <f aca="false">R36-L36</f>
        <v>2156.25</v>
      </c>
    </row>
    <row r="37" customFormat="false" ht="15" hidden="false" customHeight="false" outlineLevel="0" collapsed="false">
      <c r="A37" s="36" t="s">
        <v>77</v>
      </c>
      <c r="B37" s="36" t="s">
        <v>78</v>
      </c>
      <c r="C37" s="36" t="s">
        <v>108</v>
      </c>
      <c r="D37" s="37" t="s">
        <v>109</v>
      </c>
      <c r="E37" s="37"/>
      <c r="F37" s="36" t="s">
        <v>176</v>
      </c>
      <c r="G37" s="37" t="s">
        <v>177</v>
      </c>
      <c r="H37" s="38" t="s">
        <v>178</v>
      </c>
      <c r="I37" s="37" t="s">
        <v>179</v>
      </c>
      <c r="J37" s="39" t="n">
        <v>2</v>
      </c>
      <c r="K37" s="40" t="n">
        <v>300</v>
      </c>
      <c r="L37" s="41" t="n">
        <f aca="false">J37*K37</f>
        <v>600</v>
      </c>
      <c r="M37" s="42" t="n">
        <f aca="false">K37*(1+Parâmetros!$B$5)</f>
        <v>405</v>
      </c>
      <c r="N37" s="41" t="n">
        <f aca="false">J37*M37</f>
        <v>810</v>
      </c>
      <c r="O37" s="42" t="n">
        <f aca="false">K37*(1+Parâmetros!$B$6)</f>
        <v>420</v>
      </c>
      <c r="P37" s="41" t="n">
        <f aca="false">J37*O37</f>
        <v>840</v>
      </c>
      <c r="Q37" s="42" t="n">
        <f aca="false">K37*(1+Parâmetros!$B$7)</f>
        <v>412.5</v>
      </c>
      <c r="R37" s="41" t="n">
        <f aca="false">J37*Q37</f>
        <v>825</v>
      </c>
      <c r="S37" s="41" t="n">
        <f aca="false">R37-L37</f>
        <v>225</v>
      </c>
    </row>
    <row r="38" customFormat="false" ht="41.75" hidden="false" customHeight="false" outlineLevel="0" collapsed="false">
      <c r="A38" s="43" t="s">
        <v>77</v>
      </c>
      <c r="B38" s="43" t="s">
        <v>78</v>
      </c>
      <c r="C38" s="43" t="s">
        <v>108</v>
      </c>
      <c r="D38" s="44" t="s">
        <v>114</v>
      </c>
      <c r="E38" s="44" t="s">
        <v>180</v>
      </c>
      <c r="F38" s="43" t="s">
        <v>110</v>
      </c>
      <c r="G38" s="44" t="s">
        <v>168</v>
      </c>
      <c r="H38" s="45" t="s">
        <v>169</v>
      </c>
      <c r="I38" s="44" t="s">
        <v>148</v>
      </c>
      <c r="J38" s="46" t="n">
        <v>13</v>
      </c>
      <c r="K38" s="47" t="n">
        <v>55</v>
      </c>
      <c r="L38" s="48" t="n">
        <f aca="false">J38*K38</f>
        <v>715</v>
      </c>
      <c r="M38" s="49" t="n">
        <f aca="false">K38*(1+Parâmetros!$B$5)</f>
        <v>74.25</v>
      </c>
      <c r="N38" s="48" t="n">
        <f aca="false">J38*M38</f>
        <v>965.25</v>
      </c>
      <c r="O38" s="49" t="n">
        <f aca="false">K38*(1+Parâmetros!$B$6)</f>
        <v>77</v>
      </c>
      <c r="P38" s="48" t="n">
        <f aca="false">J38*O38</f>
        <v>1001</v>
      </c>
      <c r="Q38" s="49" t="n">
        <f aca="false">K38*(1+Parâmetros!$B$7)</f>
        <v>75.625</v>
      </c>
      <c r="R38" s="48" t="n">
        <f aca="false">J38*Q38</f>
        <v>983.125</v>
      </c>
      <c r="S38" s="48" t="n">
        <f aca="false">R38-L38</f>
        <v>268.125</v>
      </c>
    </row>
    <row r="39" customFormat="false" ht="15" hidden="false" customHeight="false" outlineLevel="0" collapsed="false">
      <c r="A39" s="43" t="s">
        <v>77</v>
      </c>
      <c r="B39" s="43" t="s">
        <v>78</v>
      </c>
      <c r="C39" s="43" t="s">
        <v>108</v>
      </c>
      <c r="D39" s="44" t="s">
        <v>114</v>
      </c>
      <c r="E39" s="44" t="s">
        <v>180</v>
      </c>
      <c r="F39" s="43" t="s">
        <v>174</v>
      </c>
      <c r="G39" s="44" t="s">
        <v>170</v>
      </c>
      <c r="H39" s="45" t="s">
        <v>175</v>
      </c>
      <c r="I39" s="44" t="s">
        <v>148</v>
      </c>
      <c r="J39" s="46" t="n">
        <v>10</v>
      </c>
      <c r="K39" s="47" t="n">
        <v>50</v>
      </c>
      <c r="L39" s="48" t="n">
        <f aca="false">J39*K39</f>
        <v>500</v>
      </c>
      <c r="M39" s="49" t="n">
        <f aca="false">K39*(1+Parâmetros!$B$5)</f>
        <v>67.5</v>
      </c>
      <c r="N39" s="48" t="n">
        <f aca="false">J39*M39</f>
        <v>675</v>
      </c>
      <c r="O39" s="49" t="n">
        <f aca="false">K39*(1+Parâmetros!$B$6)</f>
        <v>70</v>
      </c>
      <c r="P39" s="48" t="n">
        <f aca="false">J39*O39</f>
        <v>700</v>
      </c>
      <c r="Q39" s="49" t="n">
        <f aca="false">K39*(1+Parâmetros!$B$7)</f>
        <v>68.75</v>
      </c>
      <c r="R39" s="48" t="n">
        <f aca="false">J39*Q39</f>
        <v>687.5</v>
      </c>
      <c r="S39" s="48" t="n">
        <f aca="false">R39-L39</f>
        <v>187.5</v>
      </c>
    </row>
    <row r="40" customFormat="false" ht="15" hidden="false" customHeight="false" outlineLevel="0" collapsed="false">
      <c r="A40" s="43" t="s">
        <v>77</v>
      </c>
      <c r="B40" s="43" t="s">
        <v>78</v>
      </c>
      <c r="C40" s="43" t="s">
        <v>108</v>
      </c>
      <c r="D40" s="44" t="s">
        <v>114</v>
      </c>
      <c r="E40" s="44" t="s">
        <v>180</v>
      </c>
      <c r="F40" s="43" t="s">
        <v>181</v>
      </c>
      <c r="G40" s="44" t="s">
        <v>182</v>
      </c>
      <c r="H40" s="45" t="s">
        <v>183</v>
      </c>
      <c r="I40" s="44" t="s">
        <v>113</v>
      </c>
      <c r="J40" s="46" t="n">
        <v>1</v>
      </c>
      <c r="K40" s="47" t="n">
        <v>700</v>
      </c>
      <c r="L40" s="48" t="n">
        <f aca="false">J40*K40</f>
        <v>700</v>
      </c>
      <c r="M40" s="49" t="n">
        <f aca="false">K40*(1+Parâmetros!$B$5)</f>
        <v>945</v>
      </c>
      <c r="N40" s="48" t="n">
        <f aca="false">J40*M40</f>
        <v>945</v>
      </c>
      <c r="O40" s="49" t="n">
        <f aca="false">K40*(1+Parâmetros!$B$6)</f>
        <v>980</v>
      </c>
      <c r="P40" s="48" t="n">
        <f aca="false">J40*O40</f>
        <v>980</v>
      </c>
      <c r="Q40" s="49" t="n">
        <f aca="false">K40*(1+Parâmetros!$B$7)</f>
        <v>962.5</v>
      </c>
      <c r="R40" s="48" t="n">
        <f aca="false">J40*Q40</f>
        <v>962.5</v>
      </c>
      <c r="S40" s="48" t="n">
        <f aca="false">R40-L40</f>
        <v>262.5</v>
      </c>
    </row>
    <row r="42" customFormat="false" ht="19.5" hidden="false" customHeight="true" outlineLevel="0" collapsed="false">
      <c r="A42" s="25" t="s">
        <v>83</v>
      </c>
      <c r="B42" s="25"/>
      <c r="C42" s="25"/>
      <c r="D42" s="25"/>
      <c r="E42" s="25"/>
      <c r="F42" s="25"/>
      <c r="G42" s="25"/>
      <c r="H42" s="25"/>
      <c r="I42" s="25"/>
      <c r="J42" s="25"/>
      <c r="K42" s="25"/>
      <c r="L42" s="50" t="n">
        <f aca="false">SUM(L5:L40)</f>
        <v>850591.71</v>
      </c>
      <c r="M42" s="51"/>
      <c r="N42" s="50" t="n">
        <f aca="false">SUM(N5:N40)</f>
        <v>1148298.8085</v>
      </c>
      <c r="O42" s="51"/>
      <c r="P42" s="50" t="n">
        <f aca="false">SUM(P5:P40)</f>
        <v>1190828.394</v>
      </c>
      <c r="Q42" s="51"/>
      <c r="R42" s="50" t="n">
        <f aca="false">SUM(R5:R40)</f>
        <v>1169563.60125</v>
      </c>
      <c r="S42" s="50" t="n">
        <f aca="false">SUM(S5:S40)</f>
        <v>318971.89125</v>
      </c>
    </row>
  </sheetData>
  <autoFilter ref="A4:S40"/>
  <mergeCells count="3">
    <mergeCell ref="A1:S1"/>
    <mergeCell ref="A2:S2"/>
    <mergeCell ref="A42:K42"/>
  </mergeCells>
  <printOptions headings="false" gridLines="false" gridLinesSet="true" horizontalCentered="true" verticalCentered="false"/>
  <pageMargins left="0.3" right="0.3" top="0.4" bottom="0.4"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Itens Consolidados&amp;R&amp;8 Página &amp;P de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7C7C7"/>
    <pageSetUpPr fitToPage="true"/>
  </sheetPr>
  <dimension ref="A1:P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20"/>
    <col collapsed="false" customWidth="true" hidden="false" outlineLevel="0" max="4" min="4" style="0" width="15"/>
    <col collapsed="false" customWidth="true" hidden="false" outlineLevel="0" max="5" min="5" style="0" width="9"/>
    <col collapsed="false" customWidth="true" hidden="false" outlineLevel="0" max="6" min="6" style="0" width="62"/>
    <col collapsed="false" customWidth="true" hidden="false" outlineLevel="0" max="7" min="7" style="0" width="7"/>
    <col collapsed="false" customWidth="true" hidden="false" outlineLevel="0" max="8" min="8" style="0" width="13"/>
    <col collapsed="false" customWidth="true" hidden="false" outlineLevel="0" max="16" min="9" style="0" width="15"/>
  </cols>
  <sheetData>
    <row r="1" customFormat="false" ht="33.75" hidden="false" customHeight="true" outlineLevel="0" collapsed="false">
      <c r="A1" s="1" t="s">
        <v>184</v>
      </c>
      <c r="B1" s="1"/>
      <c r="C1" s="1"/>
      <c r="D1" s="1"/>
      <c r="E1" s="1"/>
      <c r="F1" s="1"/>
      <c r="G1" s="1"/>
      <c r="H1" s="1"/>
      <c r="I1" s="1"/>
      <c r="J1" s="1"/>
      <c r="K1" s="1"/>
      <c r="L1" s="1"/>
      <c r="M1" s="1"/>
      <c r="N1" s="1"/>
      <c r="O1" s="1"/>
      <c r="P1" s="1"/>
    </row>
    <row r="2" customFormat="false" ht="15.75" hidden="false" customHeight="true" outlineLevel="0" collapsed="false">
      <c r="A2" s="2" t="s">
        <v>185</v>
      </c>
      <c r="B2" s="2"/>
      <c r="C2" s="2"/>
      <c r="D2" s="2"/>
      <c r="E2" s="2"/>
      <c r="F2" s="2"/>
      <c r="G2" s="2"/>
      <c r="H2" s="2"/>
      <c r="I2" s="2"/>
      <c r="J2" s="2"/>
      <c r="K2" s="2"/>
      <c r="L2" s="2"/>
      <c r="M2" s="2"/>
      <c r="N2" s="2"/>
      <c r="O2" s="2"/>
      <c r="P2" s="2"/>
    </row>
    <row r="4" customFormat="false" ht="15" hidden="false" customHeight="true" outlineLevel="0" collapsed="false">
      <c r="A4" s="52" t="s">
        <v>186</v>
      </c>
      <c r="B4" s="52"/>
      <c r="C4" s="52"/>
      <c r="D4" s="53" t="s">
        <v>49</v>
      </c>
      <c r="E4" s="53"/>
      <c r="F4" s="53"/>
      <c r="G4" s="53"/>
      <c r="H4" s="53"/>
      <c r="I4" s="53"/>
      <c r="J4" s="53"/>
      <c r="K4" s="53"/>
      <c r="L4" s="53"/>
      <c r="M4" s="53"/>
      <c r="N4" s="53"/>
      <c r="O4" s="53"/>
      <c r="P4" s="53"/>
    </row>
    <row r="5" customFormat="false" ht="15" hidden="false" customHeight="true" outlineLevel="0" collapsed="false">
      <c r="A5" s="52" t="s">
        <v>187</v>
      </c>
      <c r="B5" s="52"/>
      <c r="C5" s="52"/>
      <c r="D5" s="53" t="s">
        <v>188</v>
      </c>
      <c r="E5" s="53"/>
      <c r="F5" s="53"/>
      <c r="G5" s="53"/>
      <c r="H5" s="53"/>
      <c r="I5" s="53"/>
      <c r="J5" s="53"/>
      <c r="K5" s="53"/>
      <c r="L5" s="53"/>
      <c r="M5" s="53"/>
      <c r="N5" s="53"/>
      <c r="O5" s="53"/>
      <c r="P5" s="53"/>
    </row>
    <row r="6" customFormat="false" ht="15" hidden="false" customHeight="true" outlineLevel="0" collapsed="false">
      <c r="A6" s="52" t="s">
        <v>189</v>
      </c>
      <c r="B6" s="52"/>
      <c r="C6" s="52"/>
      <c r="D6" s="53" t="s">
        <v>190</v>
      </c>
      <c r="E6" s="53"/>
      <c r="F6" s="53"/>
      <c r="G6" s="53"/>
      <c r="H6" s="53"/>
      <c r="I6" s="53"/>
      <c r="J6" s="53"/>
      <c r="K6" s="53"/>
      <c r="L6" s="53"/>
      <c r="M6" s="53"/>
      <c r="N6" s="53"/>
      <c r="O6" s="53"/>
      <c r="P6" s="53"/>
    </row>
    <row r="7" customFormat="false" ht="15" hidden="false" customHeight="true" outlineLevel="0" collapsed="false">
      <c r="A7" s="52" t="s">
        <v>191</v>
      </c>
      <c r="B7" s="52"/>
      <c r="C7" s="52"/>
      <c r="D7" s="53" t="s">
        <v>192</v>
      </c>
      <c r="E7" s="53"/>
      <c r="F7" s="53"/>
      <c r="G7" s="53"/>
      <c r="H7" s="53"/>
      <c r="I7" s="53"/>
      <c r="J7" s="53"/>
      <c r="K7" s="53"/>
      <c r="L7" s="53"/>
      <c r="M7" s="53"/>
      <c r="N7" s="53"/>
      <c r="O7" s="53"/>
      <c r="P7" s="53"/>
    </row>
    <row r="8" customFormat="false" ht="15" hidden="false" customHeight="true" outlineLevel="0" collapsed="false">
      <c r="A8" s="52" t="s">
        <v>193</v>
      </c>
      <c r="B8" s="52"/>
      <c r="C8" s="52"/>
      <c r="D8" s="53" t="s">
        <v>50</v>
      </c>
      <c r="E8" s="53"/>
      <c r="F8" s="53"/>
      <c r="G8" s="53"/>
      <c r="H8" s="53"/>
      <c r="I8" s="53"/>
      <c r="J8" s="53"/>
      <c r="K8" s="53"/>
      <c r="L8" s="53"/>
      <c r="M8" s="53"/>
      <c r="N8" s="53"/>
      <c r="O8" s="53"/>
      <c r="P8" s="53"/>
    </row>
    <row r="9" customFormat="false" ht="15" hidden="false" customHeight="true" outlineLevel="0" collapsed="false">
      <c r="A9" s="52" t="s">
        <v>194</v>
      </c>
      <c r="B9" s="52"/>
      <c r="C9" s="52"/>
      <c r="D9" s="53" t="s">
        <v>195</v>
      </c>
      <c r="E9" s="53"/>
      <c r="F9" s="53"/>
      <c r="G9" s="53"/>
      <c r="H9" s="53"/>
      <c r="I9" s="53"/>
      <c r="J9" s="53"/>
      <c r="K9" s="53"/>
      <c r="L9" s="53"/>
      <c r="M9" s="53"/>
      <c r="N9" s="53"/>
      <c r="O9" s="53"/>
      <c r="P9" s="53"/>
    </row>
    <row r="11" customFormat="false" ht="15" hidden="false" customHeight="false" outlineLevel="0" collapsed="false">
      <c r="A11" s="3" t="s">
        <v>196</v>
      </c>
    </row>
    <row r="12" customFormat="false" ht="24" hidden="false" customHeight="true" outlineLevel="0" collapsed="false">
      <c r="A12" s="54" t="s">
        <v>197</v>
      </c>
      <c r="B12" s="54"/>
      <c r="C12" s="54"/>
      <c r="D12" s="55" t="s">
        <v>198</v>
      </c>
      <c r="E12" s="55"/>
      <c r="F12" s="55"/>
      <c r="G12" s="55"/>
      <c r="H12" s="55"/>
      <c r="I12" s="55"/>
      <c r="J12" s="55"/>
      <c r="K12" s="55"/>
      <c r="L12" s="55"/>
      <c r="M12" s="55"/>
      <c r="N12" s="55"/>
      <c r="O12" s="55"/>
      <c r="P12" s="55"/>
    </row>
    <row r="13" customFormat="false" ht="24" hidden="false" customHeight="true" outlineLevel="0" collapsed="false">
      <c r="A13" s="54" t="s">
        <v>199</v>
      </c>
      <c r="B13" s="54"/>
      <c r="C13" s="54"/>
      <c r="D13" s="55" t="s">
        <v>200</v>
      </c>
      <c r="E13" s="55"/>
      <c r="F13" s="55"/>
      <c r="G13" s="55"/>
      <c r="H13" s="55"/>
      <c r="I13" s="55"/>
      <c r="J13" s="55"/>
      <c r="K13" s="55"/>
      <c r="L13" s="55"/>
      <c r="M13" s="55"/>
      <c r="N13" s="55"/>
      <c r="O13" s="55"/>
      <c r="P13" s="55"/>
    </row>
    <row r="14" customFormat="false" ht="36" hidden="false" customHeight="true" outlineLevel="0" collapsed="false">
      <c r="A14" s="54" t="s">
        <v>201</v>
      </c>
      <c r="B14" s="54"/>
      <c r="C14" s="54"/>
      <c r="D14" s="55" t="s">
        <v>202</v>
      </c>
      <c r="E14" s="55"/>
      <c r="F14" s="55"/>
      <c r="G14" s="55"/>
      <c r="H14" s="55"/>
      <c r="I14" s="55"/>
      <c r="J14" s="55"/>
      <c r="K14" s="55"/>
      <c r="L14" s="55"/>
      <c r="M14" s="55"/>
      <c r="N14" s="55"/>
      <c r="O14" s="55"/>
      <c r="P14" s="55"/>
    </row>
    <row r="16" customFormat="false" ht="30" hidden="false" customHeight="true" outlineLevel="0" collapsed="false">
      <c r="A16" s="18" t="s">
        <v>96</v>
      </c>
      <c r="B16" s="18" t="s">
        <v>97</v>
      </c>
      <c r="C16" s="18" t="s">
        <v>95</v>
      </c>
      <c r="D16" s="18" t="s">
        <v>98</v>
      </c>
      <c r="E16" s="18" t="s">
        <v>99</v>
      </c>
      <c r="F16" s="18" t="s">
        <v>100</v>
      </c>
      <c r="G16" s="18" t="s">
        <v>101</v>
      </c>
      <c r="H16" s="18" t="s">
        <v>102</v>
      </c>
      <c r="I16" s="18" t="s">
        <v>103</v>
      </c>
      <c r="J16" s="18" t="s">
        <v>104</v>
      </c>
      <c r="K16" s="18" t="s">
        <v>105</v>
      </c>
      <c r="L16" s="18" t="s">
        <v>43</v>
      </c>
      <c r="M16" s="18" t="s">
        <v>106</v>
      </c>
      <c r="N16" s="18" t="s">
        <v>44</v>
      </c>
      <c r="O16" s="18" t="s">
        <v>107</v>
      </c>
      <c r="P16" s="18" t="s">
        <v>45</v>
      </c>
    </row>
    <row r="17" customFormat="false" ht="15" hidden="false" customHeight="false" outlineLevel="0" collapsed="false">
      <c r="A17" s="56" t="str">
        <f aca="false">IF('Itens Consolidados'!D5="","",'Itens Consolidados'!D5)</f>
        <v>Inicial</v>
      </c>
      <c r="B17" s="56" t="str">
        <f aca="false">IF('Itens Consolidados'!E5="","",'Itens Consolidados'!E5)</f>
        <v/>
      </c>
      <c r="C17" s="57" t="str">
        <f aca="false">IF('Itens Consolidados'!C5="","",'Itens Consolidados'!C5)</f>
        <v>5 - Foyer e restaurante</v>
      </c>
      <c r="D17" s="57" t="str">
        <f aca="false">IF('Itens Consolidados'!F5="","",'Itens Consolidados'!F5)</f>
        <v>00.001.001.001</v>
      </c>
      <c r="E17" s="56" t="str">
        <f aca="false">IF('Itens Consolidados'!G5="","",'Itens Consolidados'!G5)</f>
        <v>80285</v>
      </c>
      <c r="F17" s="58" t="str">
        <f aca="false">IF('Itens Consolidados'!H5="","",'Itens Consolidados'!H5)</f>
        <v>Estrutura metálica, escoramento e telhado doca</v>
      </c>
      <c r="G17" s="56" t="str">
        <f aca="false">IF('Itens Consolidados'!I5="","",'Itens Consolidados'!I5)</f>
        <v>vb</v>
      </c>
      <c r="H17" s="59" t="n">
        <f aca="false">'Itens Consolidados'!J5</f>
        <v>1</v>
      </c>
      <c r="I17" s="60" t="n">
        <f aca="false">'Itens Consolidados'!K5</f>
        <v>42000</v>
      </c>
      <c r="J17" s="24" t="n">
        <f aca="false">'Itens Consolidados'!L5</f>
        <v>42000</v>
      </c>
      <c r="K17" s="60" t="n">
        <f aca="false">'Itens Consolidados'!M5</f>
        <v>56700</v>
      </c>
      <c r="L17" s="24" t="n">
        <f aca="false">'Itens Consolidados'!N5</f>
        <v>56700</v>
      </c>
      <c r="M17" s="60" t="n">
        <f aca="false">'Itens Consolidados'!O5</f>
        <v>58800</v>
      </c>
      <c r="N17" s="24" t="n">
        <f aca="false">'Itens Consolidados'!P5</f>
        <v>58800</v>
      </c>
      <c r="O17" s="60" t="n">
        <f aca="false">'Itens Consolidados'!Q5</f>
        <v>57750</v>
      </c>
      <c r="P17" s="24" t="n">
        <f aca="false">'Itens Consolidados'!R5</f>
        <v>57750</v>
      </c>
    </row>
    <row r="18" customFormat="false" ht="15" hidden="false" customHeight="false" outlineLevel="0" collapsed="false">
      <c r="A18" s="61" t="s">
        <v>203</v>
      </c>
      <c r="B18" s="61"/>
      <c r="C18" s="61"/>
      <c r="D18" s="61"/>
      <c r="E18" s="61"/>
      <c r="F18" s="61"/>
      <c r="G18" s="61"/>
      <c r="H18" s="61"/>
      <c r="I18" s="61"/>
      <c r="J18" s="62" t="n">
        <f aca="false">SUM(J17:J17)</f>
        <v>42000</v>
      </c>
      <c r="K18" s="63"/>
      <c r="L18" s="62" t="n">
        <f aca="false">SUM(L17:L17)</f>
        <v>56700</v>
      </c>
      <c r="M18" s="63"/>
      <c r="N18" s="62" t="n">
        <f aca="false">SUM(N17:N17)</f>
        <v>58800</v>
      </c>
      <c r="O18" s="63"/>
      <c r="P18" s="62" t="n">
        <f aca="false">SUM(P17:P17)</f>
        <v>57750</v>
      </c>
    </row>
    <row r="19" customFormat="false" ht="23.85" hidden="false" customHeight="false" outlineLevel="0" collapsed="false">
      <c r="A19" s="64" t="str">
        <f aca="false">IF('Itens Consolidados'!D6="","",'Itens Consolidados'!D6)</f>
        <v>Aditivo 1</v>
      </c>
      <c r="B19" s="64" t="str">
        <f aca="false">IF('Itens Consolidados'!E6="","",'Itens Consolidados'!E6)</f>
        <v>31/03/2026</v>
      </c>
      <c r="C19" s="65" t="str">
        <f aca="false">IF('Itens Consolidados'!C6="","",'Itens Consolidados'!C6)</f>
        <v>5 - Foyer e restaurante</v>
      </c>
      <c r="D19" s="65" t="str">
        <f aca="false">IF('Itens Consolidados'!F6="","",'Itens Consolidados'!F6)</f>
        <v>00.001.001.002</v>
      </c>
      <c r="E19" s="64" t="str">
        <f aca="false">IF('Itens Consolidados'!G6="","",'Itens Consolidados'!G6)</f>
        <v>80285</v>
      </c>
      <c r="F19" s="66" t="str">
        <f aca="false">IF('Itens Consolidados'!H6="","",'Itens Consolidados'!H6)</f>
        <v>Execução de cobertura lateral de 344,35 m², incluindo montagem da estrutura metálica, instalação de telhas com rufos e calhas. Aplicação de fundo anti ferrugem em todas as peças.</v>
      </c>
      <c r="G19" s="64" t="str">
        <f aca="false">IF('Itens Consolidados'!I6="","",'Itens Consolidados'!I6)</f>
        <v>vb</v>
      </c>
      <c r="H19" s="67" t="n">
        <f aca="false">'Itens Consolidados'!J6</f>
        <v>1</v>
      </c>
      <c r="I19" s="68" t="n">
        <f aca="false">'Itens Consolidados'!K6</f>
        <v>51300</v>
      </c>
      <c r="J19" s="69" t="n">
        <f aca="false">'Itens Consolidados'!L6</f>
        <v>51300</v>
      </c>
      <c r="K19" s="68" t="n">
        <f aca="false">'Itens Consolidados'!M6</f>
        <v>69255</v>
      </c>
      <c r="L19" s="69" t="n">
        <f aca="false">'Itens Consolidados'!N6</f>
        <v>69255</v>
      </c>
      <c r="M19" s="68" t="n">
        <f aca="false">'Itens Consolidados'!O6</f>
        <v>71820</v>
      </c>
      <c r="N19" s="69" t="n">
        <f aca="false">'Itens Consolidados'!P6</f>
        <v>71820</v>
      </c>
      <c r="O19" s="68" t="n">
        <f aca="false">'Itens Consolidados'!Q6</f>
        <v>70537.5</v>
      </c>
      <c r="P19" s="69" t="n">
        <f aca="false">'Itens Consolidados'!R6</f>
        <v>70537.5</v>
      </c>
    </row>
    <row r="20" customFormat="false" ht="23.85" hidden="false" customHeight="false" outlineLevel="0" collapsed="false">
      <c r="A20" s="64" t="str">
        <f aca="false">IF('Itens Consolidados'!D7="","",'Itens Consolidados'!D7)</f>
        <v>Aditivo 1</v>
      </c>
      <c r="B20" s="64" t="str">
        <f aca="false">IF('Itens Consolidados'!E7="","",'Itens Consolidados'!E7)</f>
        <v>31/03/2026</v>
      </c>
      <c r="C20" s="65" t="str">
        <f aca="false">IF('Itens Consolidados'!C7="","",'Itens Consolidados'!C7)</f>
        <v>5 - Foyer e restaurante</v>
      </c>
      <c r="D20" s="65" t="str">
        <f aca="false">IF('Itens Consolidados'!F7="","",'Itens Consolidados'!F7)</f>
        <v>00.001.001.003</v>
      </c>
      <c r="E20" s="64" t="str">
        <f aca="false">IF('Itens Consolidados'!G7="","",'Itens Consolidados'!G7)</f>
        <v>80285</v>
      </c>
      <c r="F20" s="66" t="str">
        <f aca="false">IF('Itens Consolidados'!H7="","",'Itens Consolidados'!H7)</f>
        <v>Execução de cobertura lateral de 212 m², parte métrica montada com rufos e calhas, incluindo remoção de 02 bicos metálicos. Aplicação de fundo anti ferrugem em todas as peças.</v>
      </c>
      <c r="G20" s="64" t="str">
        <f aca="false">IF('Itens Consolidados'!I7="","",'Itens Consolidados'!I7)</f>
        <v>vb</v>
      </c>
      <c r="H20" s="67" t="n">
        <f aca="false">'Itens Consolidados'!J7</f>
        <v>1</v>
      </c>
      <c r="I20" s="68" t="n">
        <f aca="false">'Itens Consolidados'!K7</f>
        <v>26600</v>
      </c>
      <c r="J20" s="69" t="n">
        <f aca="false">'Itens Consolidados'!L7</f>
        <v>26600</v>
      </c>
      <c r="K20" s="68" t="n">
        <f aca="false">'Itens Consolidados'!M7</f>
        <v>35910</v>
      </c>
      <c r="L20" s="69" t="n">
        <f aca="false">'Itens Consolidados'!N7</f>
        <v>35910</v>
      </c>
      <c r="M20" s="68" t="n">
        <f aca="false">'Itens Consolidados'!O7</f>
        <v>37240</v>
      </c>
      <c r="N20" s="69" t="n">
        <f aca="false">'Itens Consolidados'!P7</f>
        <v>37240</v>
      </c>
      <c r="O20" s="68" t="n">
        <f aca="false">'Itens Consolidados'!Q7</f>
        <v>36575</v>
      </c>
      <c r="P20" s="69" t="n">
        <f aca="false">'Itens Consolidados'!R7</f>
        <v>36575</v>
      </c>
    </row>
    <row r="21" customFormat="false" ht="23.85" hidden="false" customHeight="false" outlineLevel="0" collapsed="false">
      <c r="A21" s="64" t="str">
        <f aca="false">IF('Itens Consolidados'!D8="","",'Itens Consolidados'!D8)</f>
        <v>Aditivo 1</v>
      </c>
      <c r="B21" s="64" t="str">
        <f aca="false">IF('Itens Consolidados'!E8="","",'Itens Consolidados'!E8)</f>
        <v>31/03/2026</v>
      </c>
      <c r="C21" s="65" t="str">
        <f aca="false">IF('Itens Consolidados'!C8="","",'Itens Consolidados'!C8)</f>
        <v>5 - Foyer e restaurante</v>
      </c>
      <c r="D21" s="65" t="str">
        <f aca="false">IF('Itens Consolidados'!F8="","",'Itens Consolidados'!F8)</f>
        <v>00.001.001.004</v>
      </c>
      <c r="E21" s="64" t="str">
        <f aca="false">IF('Itens Consolidados'!G8="","",'Itens Consolidados'!G8)</f>
        <v>80285</v>
      </c>
      <c r="F21" s="66" t="str">
        <f aca="false">IF('Itens Consolidados'!H8="","",'Itens Consolidados'!H8)</f>
        <v>Remoção de estrutura metálica com fachada em ACM, remoção completa de letreiro, ACM e estrutura metálica.</v>
      </c>
      <c r="G21" s="64" t="str">
        <f aca="false">IF('Itens Consolidados'!I8="","",'Itens Consolidados'!I8)</f>
        <v>vb</v>
      </c>
      <c r="H21" s="67" t="n">
        <f aca="false">'Itens Consolidados'!J8</f>
        <v>1</v>
      </c>
      <c r="I21" s="68" t="n">
        <f aca="false">'Itens Consolidados'!K8</f>
        <v>10500</v>
      </c>
      <c r="J21" s="69" t="n">
        <f aca="false">'Itens Consolidados'!L8</f>
        <v>10500</v>
      </c>
      <c r="K21" s="68" t="n">
        <f aca="false">'Itens Consolidados'!M8</f>
        <v>14175</v>
      </c>
      <c r="L21" s="69" t="n">
        <f aca="false">'Itens Consolidados'!N8</f>
        <v>14175</v>
      </c>
      <c r="M21" s="68" t="n">
        <f aca="false">'Itens Consolidados'!O8</f>
        <v>14700</v>
      </c>
      <c r="N21" s="69" t="n">
        <f aca="false">'Itens Consolidados'!P8</f>
        <v>14700</v>
      </c>
      <c r="O21" s="68" t="n">
        <f aca="false">'Itens Consolidados'!Q8</f>
        <v>14437.5</v>
      </c>
      <c r="P21" s="69" t="n">
        <f aca="false">'Itens Consolidados'!R8</f>
        <v>14437.5</v>
      </c>
    </row>
    <row r="22" customFormat="false" ht="15" hidden="false" customHeight="false" outlineLevel="0" collapsed="false">
      <c r="A22" s="61" t="s">
        <v>204</v>
      </c>
      <c r="B22" s="61"/>
      <c r="C22" s="61"/>
      <c r="D22" s="61"/>
      <c r="E22" s="61"/>
      <c r="F22" s="61"/>
      <c r="G22" s="61"/>
      <c r="H22" s="61"/>
      <c r="I22" s="61"/>
      <c r="J22" s="62" t="n">
        <f aca="false">SUM(J19:J21)</f>
        <v>88400</v>
      </c>
      <c r="K22" s="63"/>
      <c r="L22" s="62" t="n">
        <f aca="false">SUM(L19:L21)</f>
        <v>119340</v>
      </c>
      <c r="M22" s="63"/>
      <c r="N22" s="62" t="n">
        <f aca="false">SUM(N19:N21)</f>
        <v>123760</v>
      </c>
      <c r="O22" s="63"/>
      <c r="P22" s="62" t="n">
        <f aca="false">SUM(P19:P21)</f>
        <v>121550</v>
      </c>
    </row>
    <row r="23" customFormat="false" ht="35.05" hidden="false" customHeight="false" outlineLevel="0" collapsed="false">
      <c r="A23" s="64" t="str">
        <f aca="false">IF('Itens Consolidados'!D9="","",'Itens Consolidados'!D9)</f>
        <v>Aditivo 2</v>
      </c>
      <c r="B23" s="64" t="str">
        <f aca="false">IF('Itens Consolidados'!E9="","",'Itens Consolidados'!E9)</f>
        <v>03/07/2026</v>
      </c>
      <c r="C23" s="65" t="str">
        <f aca="false">IF('Itens Consolidados'!C9="","",'Itens Consolidados'!C9)</f>
        <v>5 - Foyer e restaurante</v>
      </c>
      <c r="D23" s="65" t="str">
        <f aca="false">IF('Itens Consolidados'!F9="","",'Itens Consolidados'!F9)</f>
        <v>00.001.001.005</v>
      </c>
      <c r="E23" s="64" t="str">
        <f aca="false">IF('Itens Consolidados'!G9="","",'Itens Consolidados'!G9)</f>
        <v>80285</v>
      </c>
      <c r="F23" s="66" t="str">
        <f aca="false">IF('Itens Consolidados'!H9="","",'Itens Consolidados'!H9)</f>
        <v>Execução de cobertura metálica para telhado tipo shingle, incluindo adequação e tratamento anticorrosivo da estrutura, fechamento com telha de zinco, instalação de rufos, desmontagem de estrutura metálica e fabricação de suporte metálico.</v>
      </c>
      <c r="G23" s="64" t="str">
        <f aca="false">IF('Itens Consolidados'!I9="","",'Itens Consolidados'!I9)</f>
        <v>vb</v>
      </c>
      <c r="H23" s="67" t="n">
        <f aca="false">'Itens Consolidados'!J9</f>
        <v>1</v>
      </c>
      <c r="I23" s="68" t="n">
        <f aca="false">'Itens Consolidados'!K9</f>
        <v>40000</v>
      </c>
      <c r="J23" s="69" t="n">
        <f aca="false">'Itens Consolidados'!L9</f>
        <v>40000</v>
      </c>
      <c r="K23" s="68" t="n">
        <f aca="false">'Itens Consolidados'!M9</f>
        <v>54000</v>
      </c>
      <c r="L23" s="69" t="n">
        <f aca="false">'Itens Consolidados'!N9</f>
        <v>54000</v>
      </c>
      <c r="M23" s="68" t="n">
        <f aca="false">'Itens Consolidados'!O9</f>
        <v>56000</v>
      </c>
      <c r="N23" s="69" t="n">
        <f aca="false">'Itens Consolidados'!P9</f>
        <v>56000</v>
      </c>
      <c r="O23" s="68" t="n">
        <f aca="false">'Itens Consolidados'!Q9</f>
        <v>55000</v>
      </c>
      <c r="P23" s="69" t="n">
        <f aca="false">'Itens Consolidados'!R9</f>
        <v>55000</v>
      </c>
    </row>
    <row r="24" customFormat="false" ht="15" hidden="false" customHeight="false" outlineLevel="0" collapsed="false">
      <c r="A24" s="64" t="str">
        <f aca="false">IF('Itens Consolidados'!D10="","",'Itens Consolidados'!D10)</f>
        <v>Aditivo 2</v>
      </c>
      <c r="B24" s="64" t="str">
        <f aca="false">IF('Itens Consolidados'!E10="","",'Itens Consolidados'!E10)</f>
        <v>03/07/2026</v>
      </c>
      <c r="C24" s="65" t="str">
        <f aca="false">IF('Itens Consolidados'!C10="","",'Itens Consolidados'!C10)</f>
        <v>5 - Foyer e restaurante</v>
      </c>
      <c r="D24" s="65" t="str">
        <f aca="false">IF('Itens Consolidados'!F10="","",'Itens Consolidados'!F10)</f>
        <v>00.001.001.006</v>
      </c>
      <c r="E24" s="64" t="str">
        <f aca="false">IF('Itens Consolidados'!G10="","",'Itens Consolidados'!G10)</f>
        <v>80285</v>
      </c>
      <c r="F24" s="66" t="str">
        <f aca="false">IF('Itens Consolidados'!H10="","",'Itens Consolidados'!H10)</f>
        <v>Ajuste na calha do Hermes; foi feita uma nova dobragem na calha.</v>
      </c>
      <c r="G24" s="64" t="str">
        <f aca="false">IF('Itens Consolidados'!I10="","",'Itens Consolidados'!I10)</f>
        <v>vb</v>
      </c>
      <c r="H24" s="67" t="n">
        <f aca="false">'Itens Consolidados'!J10</f>
        <v>1</v>
      </c>
      <c r="I24" s="68" t="n">
        <f aca="false">'Itens Consolidados'!K10</f>
        <v>1200</v>
      </c>
      <c r="J24" s="69" t="n">
        <f aca="false">'Itens Consolidados'!L10</f>
        <v>1200</v>
      </c>
      <c r="K24" s="68" t="n">
        <f aca="false">'Itens Consolidados'!M10</f>
        <v>1620</v>
      </c>
      <c r="L24" s="69" t="n">
        <f aca="false">'Itens Consolidados'!N10</f>
        <v>1620</v>
      </c>
      <c r="M24" s="68" t="n">
        <f aca="false">'Itens Consolidados'!O10</f>
        <v>1680</v>
      </c>
      <c r="N24" s="69" t="n">
        <f aca="false">'Itens Consolidados'!P10</f>
        <v>1680</v>
      </c>
      <c r="O24" s="68" t="n">
        <f aca="false">'Itens Consolidados'!Q10</f>
        <v>1650</v>
      </c>
      <c r="P24" s="69" t="n">
        <f aca="false">'Itens Consolidados'!R10</f>
        <v>1650</v>
      </c>
    </row>
    <row r="25" customFormat="false" ht="15" hidden="false" customHeight="false" outlineLevel="0" collapsed="false">
      <c r="A25" s="64" t="str">
        <f aca="false">IF('Itens Consolidados'!D11="","",'Itens Consolidados'!D11)</f>
        <v>Aditivo 2</v>
      </c>
      <c r="B25" s="64" t="str">
        <f aca="false">IF('Itens Consolidados'!E11="","",'Itens Consolidados'!E11)</f>
        <v>03/07/2026</v>
      </c>
      <c r="C25" s="65" t="str">
        <f aca="false">IF('Itens Consolidados'!C11="","",'Itens Consolidados'!C11)</f>
        <v>5 - Foyer e restaurante</v>
      </c>
      <c r="D25" s="65" t="str">
        <f aca="false">IF('Itens Consolidados'!F11="","",'Itens Consolidados'!F11)</f>
        <v>00.001.001.007</v>
      </c>
      <c r="E25" s="64" t="str">
        <f aca="false">IF('Itens Consolidados'!G11="","",'Itens Consolidados'!G11)</f>
        <v>80285</v>
      </c>
      <c r="F25" s="66" t="str">
        <f aca="false">IF('Itens Consolidados'!H11="","",'Itens Consolidados'!H11)</f>
        <v>Execução do fechamento lateral centro de eventos.</v>
      </c>
      <c r="G25" s="64" t="str">
        <f aca="false">IF('Itens Consolidados'!I11="","",'Itens Consolidados'!I11)</f>
        <v>vb</v>
      </c>
      <c r="H25" s="67" t="n">
        <f aca="false">'Itens Consolidados'!J11</f>
        <v>1</v>
      </c>
      <c r="I25" s="68" t="n">
        <f aca="false">'Itens Consolidados'!K11</f>
        <v>14340</v>
      </c>
      <c r="J25" s="69" t="n">
        <f aca="false">'Itens Consolidados'!L11</f>
        <v>14340</v>
      </c>
      <c r="K25" s="68" t="n">
        <f aca="false">'Itens Consolidados'!M11</f>
        <v>19359</v>
      </c>
      <c r="L25" s="69" t="n">
        <f aca="false">'Itens Consolidados'!N11</f>
        <v>19359</v>
      </c>
      <c r="M25" s="68" t="n">
        <f aca="false">'Itens Consolidados'!O11</f>
        <v>20076</v>
      </c>
      <c r="N25" s="69" t="n">
        <f aca="false">'Itens Consolidados'!P11</f>
        <v>20076</v>
      </c>
      <c r="O25" s="68" t="n">
        <f aca="false">'Itens Consolidados'!Q11</f>
        <v>19717.5</v>
      </c>
      <c r="P25" s="69" t="n">
        <f aca="false">'Itens Consolidados'!R11</f>
        <v>19717.5</v>
      </c>
    </row>
    <row r="26" customFormat="false" ht="23.85" hidden="false" customHeight="false" outlineLevel="0" collapsed="false">
      <c r="A26" s="64" t="str">
        <f aca="false">IF('Itens Consolidados'!D12="","",'Itens Consolidados'!D12)</f>
        <v>Aditivo 2</v>
      </c>
      <c r="B26" s="64" t="str">
        <f aca="false">IF('Itens Consolidados'!E12="","",'Itens Consolidados'!E12)</f>
        <v>03/07/2026</v>
      </c>
      <c r="C26" s="65" t="str">
        <f aca="false">IF('Itens Consolidados'!C12="","",'Itens Consolidados'!C12)</f>
        <v>5 - Foyer e restaurante</v>
      </c>
      <c r="D26" s="65" t="str">
        <f aca="false">IF('Itens Consolidados'!F12="","",'Itens Consolidados'!F12)</f>
        <v>00.001.001.008</v>
      </c>
      <c r="E26" s="64" t="str">
        <f aca="false">IF('Itens Consolidados'!G12="","",'Itens Consolidados'!G12)</f>
        <v>80285</v>
      </c>
      <c r="F26" s="66" t="str">
        <f aca="false">IF('Itens Consolidados'!H12="","",'Itens Consolidados'!H12)</f>
        <v>Preparação das terças para receber uma nova calha, execução de rufo entre o Vivace e Maestra.</v>
      </c>
      <c r="G26" s="64" t="str">
        <f aca="false">IF('Itens Consolidados'!I12="","",'Itens Consolidados'!I12)</f>
        <v>vb</v>
      </c>
      <c r="H26" s="67" t="n">
        <f aca="false">'Itens Consolidados'!J12</f>
        <v>1</v>
      </c>
      <c r="I26" s="68" t="n">
        <f aca="false">'Itens Consolidados'!K12</f>
        <v>4900</v>
      </c>
      <c r="J26" s="69" t="n">
        <f aca="false">'Itens Consolidados'!L12</f>
        <v>4900</v>
      </c>
      <c r="K26" s="68" t="n">
        <f aca="false">'Itens Consolidados'!M12</f>
        <v>6615</v>
      </c>
      <c r="L26" s="69" t="n">
        <f aca="false">'Itens Consolidados'!N12</f>
        <v>6615</v>
      </c>
      <c r="M26" s="68" t="n">
        <f aca="false">'Itens Consolidados'!O12</f>
        <v>6860</v>
      </c>
      <c r="N26" s="69" t="n">
        <f aca="false">'Itens Consolidados'!P12</f>
        <v>6860</v>
      </c>
      <c r="O26" s="68" t="n">
        <f aca="false">'Itens Consolidados'!Q12</f>
        <v>6737.5</v>
      </c>
      <c r="P26" s="69" t="n">
        <f aca="false">'Itens Consolidados'!R12</f>
        <v>6737.5</v>
      </c>
    </row>
    <row r="27" customFormat="false" ht="15" hidden="false" customHeight="false" outlineLevel="0" collapsed="false">
      <c r="A27" s="61" t="s">
        <v>205</v>
      </c>
      <c r="B27" s="61"/>
      <c r="C27" s="61"/>
      <c r="D27" s="61"/>
      <c r="E27" s="61"/>
      <c r="F27" s="61"/>
      <c r="G27" s="61"/>
      <c r="H27" s="61"/>
      <c r="I27" s="61"/>
      <c r="J27" s="62" t="n">
        <f aca="false">SUM(J23:J26)</f>
        <v>60440</v>
      </c>
      <c r="K27" s="63"/>
      <c r="L27" s="62" t="n">
        <f aca="false">SUM(L23:L26)</f>
        <v>81594</v>
      </c>
      <c r="M27" s="63"/>
      <c r="N27" s="62" t="n">
        <f aca="false">SUM(N23:N26)</f>
        <v>84616</v>
      </c>
      <c r="O27" s="63"/>
      <c r="P27" s="62" t="n">
        <f aca="false">SUM(P23:P26)</f>
        <v>83105</v>
      </c>
    </row>
    <row r="28" customFormat="false" ht="15" hidden="false" customHeight="false" outlineLevel="0" collapsed="false">
      <c r="A28" s="64" t="str">
        <f aca="false">IF('Itens Consolidados'!D13="","",'Itens Consolidados'!D13)</f>
        <v>Aditivo 3</v>
      </c>
      <c r="B28" s="64" t="str">
        <f aca="false">IF('Itens Consolidados'!E13="","",'Itens Consolidados'!E13)</f>
        <v>28/07/2026</v>
      </c>
      <c r="C28" s="65" t="str">
        <f aca="false">IF('Itens Consolidados'!C13="","",'Itens Consolidados'!C13)</f>
        <v>5 - Foyer e restaurante</v>
      </c>
      <c r="D28" s="65" t="str">
        <f aca="false">IF('Itens Consolidados'!F13="","",'Itens Consolidados'!F13)</f>
        <v>00.001.001.009</v>
      </c>
      <c r="E28" s="64" t="str">
        <f aca="false">IF('Itens Consolidados'!G13="","",'Itens Consolidados'!G13)</f>
        <v>80285</v>
      </c>
      <c r="F28" s="66" t="str">
        <f aca="false">IF('Itens Consolidados'!H13="","",'Itens Consolidados'!H13)</f>
        <v>Fabricação e instalação de 60 m de calha — Maestra.</v>
      </c>
      <c r="G28" s="64" t="str">
        <f aca="false">IF('Itens Consolidados'!I13="","",'Itens Consolidados'!I13)</f>
        <v>vb</v>
      </c>
      <c r="H28" s="67" t="n">
        <f aca="false">'Itens Consolidados'!J13</f>
        <v>1</v>
      </c>
      <c r="I28" s="68" t="n">
        <f aca="false">'Itens Consolidados'!K13</f>
        <v>7200</v>
      </c>
      <c r="J28" s="69" t="n">
        <f aca="false">'Itens Consolidados'!L13</f>
        <v>7200</v>
      </c>
      <c r="K28" s="68" t="n">
        <f aca="false">'Itens Consolidados'!M13</f>
        <v>9720</v>
      </c>
      <c r="L28" s="69" t="n">
        <f aca="false">'Itens Consolidados'!N13</f>
        <v>9720</v>
      </c>
      <c r="M28" s="68" t="n">
        <f aca="false">'Itens Consolidados'!O13</f>
        <v>10080</v>
      </c>
      <c r="N28" s="69" t="n">
        <f aca="false">'Itens Consolidados'!P13</f>
        <v>10080</v>
      </c>
      <c r="O28" s="68" t="n">
        <f aca="false">'Itens Consolidados'!Q13</f>
        <v>9900</v>
      </c>
      <c r="P28" s="69" t="n">
        <f aca="false">'Itens Consolidados'!R13</f>
        <v>9900</v>
      </c>
    </row>
    <row r="29" customFormat="false" ht="23.85" hidden="false" customHeight="false" outlineLevel="0" collapsed="false">
      <c r="A29" s="64" t="str">
        <f aca="false">IF('Itens Consolidados'!D14="","",'Itens Consolidados'!D14)</f>
        <v>Aditivo 3</v>
      </c>
      <c r="B29" s="64" t="str">
        <f aca="false">IF('Itens Consolidados'!E14="","",'Itens Consolidados'!E14)</f>
        <v>28/07/2026</v>
      </c>
      <c r="C29" s="65" t="str">
        <f aca="false">IF('Itens Consolidados'!C14="","",'Itens Consolidados'!C14)</f>
        <v>5 - Foyer e restaurante</v>
      </c>
      <c r="D29" s="65" t="str">
        <f aca="false">IF('Itens Consolidados'!F14="","",'Itens Consolidados'!F14)</f>
        <v>00.001.001.010</v>
      </c>
      <c r="E29" s="64" t="str">
        <f aca="false">IF('Itens Consolidados'!G14="","",'Itens Consolidados'!G14)</f>
        <v>80285</v>
      </c>
      <c r="F29" s="66" t="str">
        <f aca="false">IF('Itens Consolidados'!H14="","",'Itens Consolidados'!H14)</f>
        <v>Fabricação e instalação de 58,00 metros lineares de rufo, incluindo vedação dupla entre a laje destinada aos aparelhos de ar-condicionado e a cobertura em telhas shingle.</v>
      </c>
      <c r="G29" s="64" t="str">
        <f aca="false">IF('Itens Consolidados'!I14="","",'Itens Consolidados'!I14)</f>
        <v>vb</v>
      </c>
      <c r="H29" s="67" t="n">
        <f aca="false">'Itens Consolidados'!J14</f>
        <v>1</v>
      </c>
      <c r="I29" s="68" t="n">
        <f aca="false">'Itens Consolidados'!K14</f>
        <v>2320</v>
      </c>
      <c r="J29" s="69" t="n">
        <f aca="false">'Itens Consolidados'!L14</f>
        <v>2320</v>
      </c>
      <c r="K29" s="68" t="n">
        <f aca="false">'Itens Consolidados'!M14</f>
        <v>3132</v>
      </c>
      <c r="L29" s="69" t="n">
        <f aca="false">'Itens Consolidados'!N14</f>
        <v>3132</v>
      </c>
      <c r="M29" s="68" t="n">
        <f aca="false">'Itens Consolidados'!O14</f>
        <v>3248</v>
      </c>
      <c r="N29" s="69" t="n">
        <f aca="false">'Itens Consolidados'!P14</f>
        <v>3248</v>
      </c>
      <c r="O29" s="68" t="n">
        <f aca="false">'Itens Consolidados'!Q14</f>
        <v>3190</v>
      </c>
      <c r="P29" s="69" t="n">
        <f aca="false">'Itens Consolidados'!R14</f>
        <v>3190</v>
      </c>
    </row>
    <row r="30" customFormat="false" ht="35.05" hidden="false" customHeight="false" outlineLevel="0" collapsed="false">
      <c r="A30" s="64" t="str">
        <f aca="false">IF('Itens Consolidados'!D15="","",'Itens Consolidados'!D15)</f>
        <v>Aditivo 3</v>
      </c>
      <c r="B30" s="64" t="str">
        <f aca="false">IF('Itens Consolidados'!E15="","",'Itens Consolidados'!E15)</f>
        <v>28/07/2026</v>
      </c>
      <c r="C30" s="65" t="str">
        <f aca="false">IF('Itens Consolidados'!C15="","",'Itens Consolidados'!C15)</f>
        <v>5 - Foyer e restaurante</v>
      </c>
      <c r="D30" s="65" t="str">
        <f aca="false">IF('Itens Consolidados'!F15="","",'Itens Consolidados'!F15)</f>
        <v>00.001.001.011</v>
      </c>
      <c r="E30" s="64" t="str">
        <f aca="false">IF('Itens Consolidados'!G15="","",'Itens Consolidados'!G15)</f>
        <v>80285</v>
      </c>
      <c r="F30" s="66" t="str">
        <f aca="false">IF('Itens Consolidados'!H15="","",'Itens Consolidados'!H15)</f>
        <v>Desmonte da estrutura metálica existente com cobertura em acrílico, montagem da nova estrutura metálica para instalação da cobertura em telhas shingle, montagem da estrutura metálica de apoio para instalação dos vidros.</v>
      </c>
      <c r="G30" s="64" t="str">
        <f aca="false">IF('Itens Consolidados'!I15="","",'Itens Consolidados'!I15)</f>
        <v>vb</v>
      </c>
      <c r="H30" s="67" t="n">
        <f aca="false">'Itens Consolidados'!J15</f>
        <v>1</v>
      </c>
      <c r="I30" s="68" t="n">
        <f aca="false">'Itens Consolidados'!K15</f>
        <v>3900</v>
      </c>
      <c r="J30" s="69" t="n">
        <f aca="false">'Itens Consolidados'!L15</f>
        <v>3900</v>
      </c>
      <c r="K30" s="68" t="n">
        <f aca="false">'Itens Consolidados'!M15</f>
        <v>5265</v>
      </c>
      <c r="L30" s="69" t="n">
        <f aca="false">'Itens Consolidados'!N15</f>
        <v>5265</v>
      </c>
      <c r="M30" s="68" t="n">
        <f aca="false">'Itens Consolidados'!O15</f>
        <v>5460</v>
      </c>
      <c r="N30" s="69" t="n">
        <f aca="false">'Itens Consolidados'!P15</f>
        <v>5460</v>
      </c>
      <c r="O30" s="68" t="n">
        <f aca="false">'Itens Consolidados'!Q15</f>
        <v>5362.5</v>
      </c>
      <c r="P30" s="69" t="n">
        <f aca="false">'Itens Consolidados'!R15</f>
        <v>5362.5</v>
      </c>
    </row>
    <row r="31" customFormat="false" ht="23.85" hidden="false" customHeight="false" outlineLevel="0" collapsed="false">
      <c r="A31" s="64" t="str">
        <f aca="false">IF('Itens Consolidados'!D16="","",'Itens Consolidados'!D16)</f>
        <v>Aditivo 3</v>
      </c>
      <c r="B31" s="64" t="str">
        <f aca="false">IF('Itens Consolidados'!E16="","",'Itens Consolidados'!E16)</f>
        <v>28/07/2026</v>
      </c>
      <c r="C31" s="65" t="str">
        <f aca="false">IF('Itens Consolidados'!C16="","",'Itens Consolidados'!C16)</f>
        <v>5 - Foyer e restaurante</v>
      </c>
      <c r="D31" s="65" t="str">
        <f aca="false">IF('Itens Consolidados'!F16="","",'Itens Consolidados'!F16)</f>
        <v>00.001.001.012</v>
      </c>
      <c r="E31" s="64" t="str">
        <f aca="false">IF('Itens Consolidados'!G16="","",'Itens Consolidados'!G16)</f>
        <v>80285</v>
      </c>
      <c r="F31" s="66" t="str">
        <f aca="false">IF('Itens Consolidados'!H16="","",'Itens Consolidados'!H16)</f>
        <v>Ampliação da estrutura metálica na região do bico da cobertura para adequação às telhas shingle.</v>
      </c>
      <c r="G31" s="64" t="str">
        <f aca="false">IF('Itens Consolidados'!I16="","",'Itens Consolidados'!I16)</f>
        <v>vb</v>
      </c>
      <c r="H31" s="67" t="n">
        <f aca="false">'Itens Consolidados'!J16</f>
        <v>1</v>
      </c>
      <c r="I31" s="68" t="n">
        <f aca="false">'Itens Consolidados'!K16</f>
        <v>2200</v>
      </c>
      <c r="J31" s="69" t="n">
        <f aca="false">'Itens Consolidados'!L16</f>
        <v>2200</v>
      </c>
      <c r="K31" s="68" t="n">
        <f aca="false">'Itens Consolidados'!M16</f>
        <v>2970</v>
      </c>
      <c r="L31" s="69" t="n">
        <f aca="false">'Itens Consolidados'!N16</f>
        <v>2970</v>
      </c>
      <c r="M31" s="68" t="n">
        <f aca="false">'Itens Consolidados'!O16</f>
        <v>3080</v>
      </c>
      <c r="N31" s="69" t="n">
        <f aca="false">'Itens Consolidados'!P16</f>
        <v>3080</v>
      </c>
      <c r="O31" s="68" t="n">
        <f aca="false">'Itens Consolidados'!Q16</f>
        <v>3025</v>
      </c>
      <c r="P31" s="69" t="n">
        <f aca="false">'Itens Consolidados'!R16</f>
        <v>3025</v>
      </c>
    </row>
    <row r="32" customFormat="false" ht="23.85" hidden="false" customHeight="false" outlineLevel="0" collapsed="false">
      <c r="A32" s="64" t="str">
        <f aca="false">IF('Itens Consolidados'!D17="","",'Itens Consolidados'!D17)</f>
        <v>Aditivo 3</v>
      </c>
      <c r="B32" s="64" t="str">
        <f aca="false">IF('Itens Consolidados'!E17="","",'Itens Consolidados'!E17)</f>
        <v>28/07/2026</v>
      </c>
      <c r="C32" s="65" t="str">
        <f aca="false">IF('Itens Consolidados'!C17="","",'Itens Consolidados'!C17)</f>
        <v>5 - Foyer e restaurante</v>
      </c>
      <c r="D32" s="65" t="str">
        <f aca="false">IF('Itens Consolidados'!F17="","",'Itens Consolidados'!F17)</f>
        <v>00.001.001.013</v>
      </c>
      <c r="E32" s="64" t="str">
        <f aca="false">IF('Itens Consolidados'!G17="","",'Itens Consolidados'!G17)</f>
        <v>80285</v>
      </c>
      <c r="F32" s="66" t="str">
        <f aca="false">IF('Itens Consolidados'!H17="","",'Itens Consolidados'!H17)</f>
        <v>Ampliação do beiral da cobertura em 0,70 m ao longo de 60,00 metros lineares, totalizando 42,00 m² de área adicional de cobertura, incluindo os ajustes necessários no beiral.</v>
      </c>
      <c r="G32" s="64" t="str">
        <f aca="false">IF('Itens Consolidados'!I17="","",'Itens Consolidados'!I17)</f>
        <v>vb</v>
      </c>
      <c r="H32" s="67" t="n">
        <f aca="false">'Itens Consolidados'!J17</f>
        <v>1</v>
      </c>
      <c r="I32" s="68" t="n">
        <f aca="false">'Itens Consolidados'!K17</f>
        <v>3800</v>
      </c>
      <c r="J32" s="69" t="n">
        <f aca="false">'Itens Consolidados'!L17</f>
        <v>3800</v>
      </c>
      <c r="K32" s="68" t="n">
        <f aca="false">'Itens Consolidados'!M17</f>
        <v>5130</v>
      </c>
      <c r="L32" s="69" t="n">
        <f aca="false">'Itens Consolidados'!N17</f>
        <v>5130</v>
      </c>
      <c r="M32" s="68" t="n">
        <f aca="false">'Itens Consolidados'!O17</f>
        <v>5320</v>
      </c>
      <c r="N32" s="69" t="n">
        <f aca="false">'Itens Consolidados'!P17</f>
        <v>5320</v>
      </c>
      <c r="O32" s="68" t="n">
        <f aca="false">'Itens Consolidados'!Q17</f>
        <v>5225</v>
      </c>
      <c r="P32" s="69" t="n">
        <f aca="false">'Itens Consolidados'!R17</f>
        <v>5225</v>
      </c>
    </row>
    <row r="33" customFormat="false" ht="15" hidden="false" customHeight="false" outlineLevel="0" collapsed="false">
      <c r="A33" s="61" t="s">
        <v>206</v>
      </c>
      <c r="B33" s="61"/>
      <c r="C33" s="61"/>
      <c r="D33" s="61"/>
      <c r="E33" s="61"/>
      <c r="F33" s="61"/>
      <c r="G33" s="61"/>
      <c r="H33" s="61"/>
      <c r="I33" s="61"/>
      <c r="J33" s="62" t="n">
        <f aca="false">SUM(J28:J32)</f>
        <v>19420</v>
      </c>
      <c r="K33" s="63"/>
      <c r="L33" s="62" t="n">
        <f aca="false">SUM(L28:L32)</f>
        <v>26217</v>
      </c>
      <c r="M33" s="63"/>
      <c r="N33" s="62" t="n">
        <f aca="false">SUM(N28:N32)</f>
        <v>27188</v>
      </c>
      <c r="O33" s="63"/>
      <c r="P33" s="62" t="n">
        <f aca="false">SUM(P28:P32)</f>
        <v>26702.5</v>
      </c>
    </row>
    <row r="34" customFormat="false" ht="19.5" hidden="false" customHeight="true" outlineLevel="0" collapsed="false">
      <c r="A34" s="25" t="s">
        <v>207</v>
      </c>
      <c r="B34" s="25"/>
      <c r="C34" s="25"/>
      <c r="D34" s="25"/>
      <c r="E34" s="25"/>
      <c r="F34" s="25"/>
      <c r="G34" s="25"/>
      <c r="H34" s="25"/>
      <c r="I34" s="25"/>
      <c r="J34" s="50" t="n">
        <f aca="false">J18+J22+J27+J33</f>
        <v>210260</v>
      </c>
      <c r="K34" s="51"/>
      <c r="L34" s="50" t="n">
        <f aca="false">L18+L22+L27+L33</f>
        <v>283851</v>
      </c>
      <c r="M34" s="51"/>
      <c r="N34" s="50" t="n">
        <f aca="false">N18+N22+N27+N33</f>
        <v>294364</v>
      </c>
      <c r="O34" s="51"/>
      <c r="P34" s="50" t="n">
        <f aca="false">P18+P22+P27+P33</f>
        <v>289107.5</v>
      </c>
    </row>
    <row r="35" customFormat="false" ht="15" hidden="false" customHeight="false" outlineLevel="0" collapsed="false">
      <c r="A35" s="70" t="s">
        <v>208</v>
      </c>
      <c r="B35" s="70"/>
      <c r="C35" s="70"/>
      <c r="D35" s="70"/>
      <c r="E35" s="70"/>
      <c r="F35" s="70"/>
      <c r="G35" s="70"/>
      <c r="H35" s="70"/>
      <c r="I35" s="70"/>
      <c r="P35" s="71" t="n">
        <f aca="false">P34-J34</f>
        <v>78847.5</v>
      </c>
    </row>
  </sheetData>
  <mergeCells count="26">
    <mergeCell ref="A1:P1"/>
    <mergeCell ref="A2:P2"/>
    <mergeCell ref="A4:C4"/>
    <mergeCell ref="D4:P4"/>
    <mergeCell ref="A5:C5"/>
    <mergeCell ref="D5:P5"/>
    <mergeCell ref="A6:C6"/>
    <mergeCell ref="D6:P6"/>
    <mergeCell ref="A7:C7"/>
    <mergeCell ref="D7:P7"/>
    <mergeCell ref="A8:C8"/>
    <mergeCell ref="D8:P8"/>
    <mergeCell ref="A9:C9"/>
    <mergeCell ref="D9:P9"/>
    <mergeCell ref="A12:C12"/>
    <mergeCell ref="D12:P12"/>
    <mergeCell ref="A13:C13"/>
    <mergeCell ref="D13:P13"/>
    <mergeCell ref="A14:C14"/>
    <mergeCell ref="D14:P14"/>
    <mergeCell ref="A18:I18"/>
    <mergeCell ref="A22:I22"/>
    <mergeCell ref="A27:I27"/>
    <mergeCell ref="A33:I33"/>
    <mergeCell ref="A34:I34"/>
    <mergeCell ref="A35:I35"/>
  </mergeCells>
  <printOptions headings="false" gridLines="false" gridLinesSet="true" horizontalCentered="true" verticalCentered="false"/>
  <pageMargins left="0.3" right="0.3" top="0.4" bottom="0.4"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CT-149&amp;R&amp;8 Página &amp;P de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7C7C7"/>
    <pageSetUpPr fitToPage="true"/>
  </sheetPr>
  <dimension ref="A1:P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20"/>
    <col collapsed="false" customWidth="true" hidden="false" outlineLevel="0" max="4" min="4" style="0" width="15"/>
    <col collapsed="false" customWidth="true" hidden="false" outlineLevel="0" max="5" min="5" style="0" width="9"/>
    <col collapsed="false" customWidth="true" hidden="false" outlineLevel="0" max="6" min="6" style="0" width="62"/>
    <col collapsed="false" customWidth="true" hidden="false" outlineLevel="0" max="7" min="7" style="0" width="7"/>
    <col collapsed="false" customWidth="true" hidden="false" outlineLevel="0" max="8" min="8" style="0" width="13"/>
    <col collapsed="false" customWidth="true" hidden="false" outlineLevel="0" max="16" min="9" style="0" width="15"/>
  </cols>
  <sheetData>
    <row r="1" customFormat="false" ht="33.75" hidden="false" customHeight="true" outlineLevel="0" collapsed="false">
      <c r="A1" s="1" t="s">
        <v>209</v>
      </c>
      <c r="B1" s="1"/>
      <c r="C1" s="1"/>
      <c r="D1" s="1"/>
      <c r="E1" s="1"/>
      <c r="F1" s="1"/>
      <c r="G1" s="1"/>
      <c r="H1" s="1"/>
      <c r="I1" s="1"/>
      <c r="J1" s="1"/>
      <c r="K1" s="1"/>
      <c r="L1" s="1"/>
      <c r="M1" s="1"/>
      <c r="N1" s="1"/>
      <c r="O1" s="1"/>
      <c r="P1" s="1"/>
    </row>
    <row r="2" customFormat="false" ht="15.75" hidden="false" customHeight="true" outlineLevel="0" collapsed="false">
      <c r="A2" s="2" t="s">
        <v>210</v>
      </c>
      <c r="B2" s="2"/>
      <c r="C2" s="2"/>
      <c r="D2" s="2"/>
      <c r="E2" s="2"/>
      <c r="F2" s="2"/>
      <c r="G2" s="2"/>
      <c r="H2" s="2"/>
      <c r="I2" s="2"/>
      <c r="J2" s="2"/>
      <c r="K2" s="2"/>
      <c r="L2" s="2"/>
      <c r="M2" s="2"/>
      <c r="N2" s="2"/>
      <c r="O2" s="2"/>
      <c r="P2" s="2"/>
    </row>
    <row r="4" customFormat="false" ht="15" hidden="false" customHeight="true" outlineLevel="0" collapsed="false">
      <c r="A4" s="52" t="s">
        <v>186</v>
      </c>
      <c r="B4" s="52"/>
      <c r="C4" s="52"/>
      <c r="D4" s="53" t="s">
        <v>55</v>
      </c>
      <c r="E4" s="53"/>
      <c r="F4" s="53"/>
      <c r="G4" s="53"/>
      <c r="H4" s="53"/>
      <c r="I4" s="53"/>
      <c r="J4" s="53"/>
      <c r="K4" s="53"/>
      <c r="L4" s="53"/>
      <c r="M4" s="53"/>
      <c r="N4" s="53"/>
      <c r="O4" s="53"/>
      <c r="P4" s="53"/>
    </row>
    <row r="5" customFormat="false" ht="15" hidden="false" customHeight="true" outlineLevel="0" collapsed="false">
      <c r="A5" s="52" t="s">
        <v>187</v>
      </c>
      <c r="B5" s="52"/>
      <c r="C5" s="52"/>
      <c r="D5" s="53" t="s">
        <v>211</v>
      </c>
      <c r="E5" s="53"/>
      <c r="F5" s="53"/>
      <c r="G5" s="53"/>
      <c r="H5" s="53"/>
      <c r="I5" s="53"/>
      <c r="J5" s="53"/>
      <c r="K5" s="53"/>
      <c r="L5" s="53"/>
      <c r="M5" s="53"/>
      <c r="N5" s="53"/>
      <c r="O5" s="53"/>
      <c r="P5" s="53"/>
    </row>
    <row r="6" customFormat="false" ht="15" hidden="false" customHeight="true" outlineLevel="0" collapsed="false">
      <c r="A6" s="52" t="s">
        <v>189</v>
      </c>
      <c r="B6" s="52"/>
      <c r="C6" s="52"/>
      <c r="D6" s="53" t="s">
        <v>212</v>
      </c>
      <c r="E6" s="53"/>
      <c r="F6" s="53"/>
      <c r="G6" s="53"/>
      <c r="H6" s="53"/>
      <c r="I6" s="53"/>
      <c r="J6" s="53"/>
      <c r="K6" s="53"/>
      <c r="L6" s="53"/>
      <c r="M6" s="53"/>
      <c r="N6" s="53"/>
      <c r="O6" s="53"/>
      <c r="P6" s="53"/>
    </row>
    <row r="7" customFormat="false" ht="15" hidden="false" customHeight="true" outlineLevel="0" collapsed="false">
      <c r="A7" s="52" t="s">
        <v>191</v>
      </c>
      <c r="B7" s="52"/>
      <c r="C7" s="52"/>
      <c r="D7" s="53" t="s">
        <v>192</v>
      </c>
      <c r="E7" s="53"/>
      <c r="F7" s="53"/>
      <c r="G7" s="53"/>
      <c r="H7" s="53"/>
      <c r="I7" s="53"/>
      <c r="J7" s="53"/>
      <c r="K7" s="53"/>
      <c r="L7" s="53"/>
      <c r="M7" s="53"/>
      <c r="N7" s="53"/>
      <c r="O7" s="53"/>
      <c r="P7" s="53"/>
    </row>
    <row r="8" customFormat="false" ht="15" hidden="false" customHeight="true" outlineLevel="0" collapsed="false">
      <c r="A8" s="52" t="s">
        <v>193</v>
      </c>
      <c r="B8" s="52"/>
      <c r="C8" s="52"/>
      <c r="D8" s="53" t="s">
        <v>56</v>
      </c>
      <c r="E8" s="53"/>
      <c r="F8" s="53"/>
      <c r="G8" s="53"/>
      <c r="H8" s="53"/>
      <c r="I8" s="53"/>
      <c r="J8" s="53"/>
      <c r="K8" s="53"/>
      <c r="L8" s="53"/>
      <c r="M8" s="53"/>
      <c r="N8" s="53"/>
      <c r="O8" s="53"/>
      <c r="P8" s="53"/>
    </row>
    <row r="9" customFormat="false" ht="15" hidden="false" customHeight="true" outlineLevel="0" collapsed="false">
      <c r="A9" s="52" t="s">
        <v>194</v>
      </c>
      <c r="B9" s="52"/>
      <c r="C9" s="52"/>
      <c r="D9" s="53" t="s">
        <v>213</v>
      </c>
      <c r="E9" s="53"/>
      <c r="F9" s="53"/>
      <c r="G9" s="53"/>
      <c r="H9" s="53"/>
      <c r="I9" s="53"/>
      <c r="J9" s="53"/>
      <c r="K9" s="53"/>
      <c r="L9" s="53"/>
      <c r="M9" s="53"/>
      <c r="N9" s="53"/>
      <c r="O9" s="53"/>
      <c r="P9" s="53"/>
    </row>
    <row r="11" customFormat="false" ht="15" hidden="false" customHeight="false" outlineLevel="0" collapsed="false">
      <c r="A11" s="3" t="s">
        <v>196</v>
      </c>
    </row>
    <row r="12" customFormat="false" ht="13.5" hidden="false" customHeight="true" outlineLevel="0" collapsed="false">
      <c r="A12" s="54" t="s">
        <v>214</v>
      </c>
      <c r="B12" s="54"/>
      <c r="C12" s="54"/>
      <c r="D12" s="55" t="s">
        <v>215</v>
      </c>
      <c r="E12" s="55"/>
      <c r="F12" s="55"/>
      <c r="G12" s="55"/>
      <c r="H12" s="55"/>
      <c r="I12" s="55"/>
      <c r="J12" s="55"/>
      <c r="K12" s="55"/>
      <c r="L12" s="55"/>
      <c r="M12" s="55"/>
      <c r="N12" s="55"/>
      <c r="O12" s="55"/>
      <c r="P12" s="55"/>
    </row>
    <row r="14" customFormat="false" ht="30" hidden="false" customHeight="true" outlineLevel="0" collapsed="false">
      <c r="A14" s="18" t="s">
        <v>96</v>
      </c>
      <c r="B14" s="18" t="s">
        <v>97</v>
      </c>
      <c r="C14" s="18" t="s">
        <v>95</v>
      </c>
      <c r="D14" s="18" t="s">
        <v>98</v>
      </c>
      <c r="E14" s="18" t="s">
        <v>99</v>
      </c>
      <c r="F14" s="18" t="s">
        <v>100</v>
      </c>
      <c r="G14" s="18" t="s">
        <v>101</v>
      </c>
      <c r="H14" s="18" t="s">
        <v>102</v>
      </c>
      <c r="I14" s="18" t="s">
        <v>103</v>
      </c>
      <c r="J14" s="18" t="s">
        <v>104</v>
      </c>
      <c r="K14" s="18" t="s">
        <v>105</v>
      </c>
      <c r="L14" s="18" t="s">
        <v>43</v>
      </c>
      <c r="M14" s="18" t="s">
        <v>106</v>
      </c>
      <c r="N14" s="18" t="s">
        <v>44</v>
      </c>
      <c r="O14" s="18" t="s">
        <v>107</v>
      </c>
      <c r="P14" s="18" t="s">
        <v>45</v>
      </c>
    </row>
    <row r="15" customFormat="false" ht="15" hidden="false" customHeight="false" outlineLevel="0" collapsed="false">
      <c r="A15" s="56" t="str">
        <f aca="false">IF('Itens Consolidados'!D18="","",'Itens Consolidados'!D18)</f>
        <v>Inicial</v>
      </c>
      <c r="B15" s="56" t="str">
        <f aca="false">IF('Itens Consolidados'!E18="","",'Itens Consolidados'!E18)</f>
        <v/>
      </c>
      <c r="C15" s="57" t="str">
        <f aca="false">IF('Itens Consolidados'!C18="","",'Itens Consolidados'!C18)</f>
        <v>4 - Centro de eventos</v>
      </c>
      <c r="D15" s="57" t="str">
        <f aca="false">IF('Itens Consolidados'!F18="","",'Itens Consolidados'!F18)</f>
        <v>00.000.001.001</v>
      </c>
      <c r="E15" s="56" t="str">
        <f aca="false">IF('Itens Consolidados'!G18="","",'Itens Consolidados'!G18)</f>
        <v>80407</v>
      </c>
      <c r="F15" s="58" t="str">
        <f aca="false">IF('Itens Consolidados'!H18="","",'Itens Consolidados'!H18)</f>
        <v>Piso de concreto desempenado</v>
      </c>
      <c r="G15" s="56" t="str">
        <f aca="false">IF('Itens Consolidados'!I18="","",'Itens Consolidados'!I18)</f>
        <v>m²</v>
      </c>
      <c r="H15" s="59" t="n">
        <f aca="false">'Itens Consolidados'!J18</f>
        <v>2159.3</v>
      </c>
      <c r="I15" s="60" t="n">
        <f aca="false">'Itens Consolidados'!K18</f>
        <v>15</v>
      </c>
      <c r="J15" s="24" t="n">
        <f aca="false">'Itens Consolidados'!L18</f>
        <v>32389.5</v>
      </c>
      <c r="K15" s="60" t="n">
        <f aca="false">'Itens Consolidados'!M18</f>
        <v>20.25</v>
      </c>
      <c r="L15" s="24" t="n">
        <f aca="false">'Itens Consolidados'!N18</f>
        <v>43725.825</v>
      </c>
      <c r="M15" s="60" t="n">
        <f aca="false">'Itens Consolidados'!O18</f>
        <v>21</v>
      </c>
      <c r="N15" s="24" t="n">
        <f aca="false">'Itens Consolidados'!P18</f>
        <v>45345.3</v>
      </c>
      <c r="O15" s="60" t="n">
        <f aca="false">'Itens Consolidados'!Q18</f>
        <v>20.625</v>
      </c>
      <c r="P15" s="24" t="n">
        <f aca="false">'Itens Consolidados'!R18</f>
        <v>44535.5625</v>
      </c>
    </row>
    <row r="16" customFormat="false" ht="15" hidden="false" customHeight="false" outlineLevel="0" collapsed="false">
      <c r="A16" s="56" t="str">
        <f aca="false">IF('Itens Consolidados'!D19="","",'Itens Consolidados'!D19)</f>
        <v>Inicial</v>
      </c>
      <c r="B16" s="56" t="str">
        <f aca="false">IF('Itens Consolidados'!E19="","",'Itens Consolidados'!E19)</f>
        <v/>
      </c>
      <c r="C16" s="57" t="str">
        <f aca="false">IF('Itens Consolidados'!C19="","",'Itens Consolidados'!C19)</f>
        <v>4 - Centro de eventos</v>
      </c>
      <c r="D16" s="57" t="str">
        <f aca="false">IF('Itens Consolidados'!F19="","",'Itens Consolidados'!F19)</f>
        <v>00.000.001.002</v>
      </c>
      <c r="E16" s="56" t="str">
        <f aca="false">IF('Itens Consolidados'!G19="","",'Itens Consolidados'!G19)</f>
        <v>80408</v>
      </c>
      <c r="F16" s="58" t="str">
        <f aca="false">IF('Itens Consolidados'!H19="","",'Itens Consolidados'!H19)</f>
        <v>Piso de concreto polido</v>
      </c>
      <c r="G16" s="56" t="str">
        <f aca="false">IF('Itens Consolidados'!I19="","",'Itens Consolidados'!I19)</f>
        <v>m²</v>
      </c>
      <c r="H16" s="59" t="n">
        <f aca="false">'Itens Consolidados'!J19</f>
        <v>8709.7</v>
      </c>
      <c r="I16" s="60" t="n">
        <f aca="false">'Itens Consolidados'!K19</f>
        <v>18</v>
      </c>
      <c r="J16" s="24" t="n">
        <f aca="false">'Itens Consolidados'!L19</f>
        <v>156774.6</v>
      </c>
      <c r="K16" s="60" t="n">
        <f aca="false">'Itens Consolidados'!M19</f>
        <v>24.3</v>
      </c>
      <c r="L16" s="24" t="n">
        <f aca="false">'Itens Consolidados'!N19</f>
        <v>211645.71</v>
      </c>
      <c r="M16" s="60" t="n">
        <f aca="false">'Itens Consolidados'!O19</f>
        <v>25.2</v>
      </c>
      <c r="N16" s="24" t="n">
        <f aca="false">'Itens Consolidados'!P19</f>
        <v>219484.44</v>
      </c>
      <c r="O16" s="60" t="n">
        <f aca="false">'Itens Consolidados'!Q19</f>
        <v>24.75</v>
      </c>
      <c r="P16" s="24" t="n">
        <f aca="false">'Itens Consolidados'!R19</f>
        <v>215565.075</v>
      </c>
    </row>
    <row r="17" customFormat="false" ht="15" hidden="false" customHeight="false" outlineLevel="0" collapsed="false">
      <c r="A17" s="56" t="str">
        <f aca="false">IF('Itens Consolidados'!D20="","",'Itens Consolidados'!D20)</f>
        <v>Inicial</v>
      </c>
      <c r="B17" s="56" t="str">
        <f aca="false">IF('Itens Consolidados'!E20="","",'Itens Consolidados'!E20)</f>
        <v/>
      </c>
      <c r="C17" s="57" t="str">
        <f aca="false">IF('Itens Consolidados'!C20="","",'Itens Consolidados'!C20)</f>
        <v>5 - Foyer e restaurante</v>
      </c>
      <c r="D17" s="57" t="str">
        <f aca="false">IF('Itens Consolidados'!F20="","",'Itens Consolidados'!F20)</f>
        <v>00.001.001.001</v>
      </c>
      <c r="E17" s="56" t="str">
        <f aca="false">IF('Itens Consolidados'!G20="","",'Itens Consolidados'!G20)</f>
        <v>80321</v>
      </c>
      <c r="F17" s="58" t="str">
        <f aca="false">IF('Itens Consolidados'!H20="","",'Itens Consolidados'!H20)</f>
        <v>Piso de concreto desempenado</v>
      </c>
      <c r="G17" s="56" t="str">
        <f aca="false">IF('Itens Consolidados'!I20="","",'Itens Consolidados'!I20)</f>
        <v>m²</v>
      </c>
      <c r="H17" s="59" t="n">
        <f aca="false">'Itens Consolidados'!J20</f>
        <v>2661.5</v>
      </c>
      <c r="I17" s="60" t="n">
        <f aca="false">'Itens Consolidados'!K20</f>
        <v>15</v>
      </c>
      <c r="J17" s="24" t="n">
        <f aca="false">'Itens Consolidados'!L20</f>
        <v>39922.5</v>
      </c>
      <c r="K17" s="60" t="n">
        <f aca="false">'Itens Consolidados'!M20</f>
        <v>20.25</v>
      </c>
      <c r="L17" s="24" t="n">
        <f aca="false">'Itens Consolidados'!N20</f>
        <v>53895.375</v>
      </c>
      <c r="M17" s="60" t="n">
        <f aca="false">'Itens Consolidados'!O20</f>
        <v>21</v>
      </c>
      <c r="N17" s="24" t="n">
        <f aca="false">'Itens Consolidados'!P20</f>
        <v>55891.5</v>
      </c>
      <c r="O17" s="60" t="n">
        <f aca="false">'Itens Consolidados'!Q20</f>
        <v>20.625</v>
      </c>
      <c r="P17" s="24" t="n">
        <f aca="false">'Itens Consolidados'!R20</f>
        <v>54893.4375</v>
      </c>
    </row>
    <row r="18" customFormat="false" ht="15" hidden="false" customHeight="false" outlineLevel="0" collapsed="false">
      <c r="A18" s="56" t="str">
        <f aca="false">IF('Itens Consolidados'!D21="","",'Itens Consolidados'!D21)</f>
        <v>Inicial</v>
      </c>
      <c r="B18" s="56" t="str">
        <f aca="false">IF('Itens Consolidados'!E21="","",'Itens Consolidados'!E21)</f>
        <v/>
      </c>
      <c r="C18" s="57" t="str">
        <f aca="false">IF('Itens Consolidados'!C21="","",'Itens Consolidados'!C21)</f>
        <v>5 - Foyer e restaurante</v>
      </c>
      <c r="D18" s="57" t="str">
        <f aca="false">IF('Itens Consolidados'!F21="","",'Itens Consolidados'!F21)</f>
        <v>00.002.001.001</v>
      </c>
      <c r="E18" s="56" t="str">
        <f aca="false">IF('Itens Consolidados'!G21="","",'Itens Consolidados'!G21)</f>
        <v>80321</v>
      </c>
      <c r="F18" s="58" t="str">
        <f aca="false">IF('Itens Consolidados'!H21="","",'Itens Consolidados'!H21)</f>
        <v>Piso de concreto polido</v>
      </c>
      <c r="G18" s="56" t="str">
        <f aca="false">IF('Itens Consolidados'!I21="","",'Itens Consolidados'!I21)</f>
        <v>m²</v>
      </c>
      <c r="H18" s="59" t="n">
        <f aca="false">'Itens Consolidados'!J21</f>
        <v>709.5</v>
      </c>
      <c r="I18" s="60" t="n">
        <f aca="false">'Itens Consolidados'!K21</f>
        <v>18</v>
      </c>
      <c r="J18" s="24" t="n">
        <f aca="false">'Itens Consolidados'!L21</f>
        <v>12771</v>
      </c>
      <c r="K18" s="60" t="n">
        <f aca="false">'Itens Consolidados'!M21</f>
        <v>24.3</v>
      </c>
      <c r="L18" s="24" t="n">
        <f aca="false">'Itens Consolidados'!N21</f>
        <v>17240.85</v>
      </c>
      <c r="M18" s="60" t="n">
        <f aca="false">'Itens Consolidados'!O21</f>
        <v>25.2</v>
      </c>
      <c r="N18" s="24" t="n">
        <f aca="false">'Itens Consolidados'!P21</f>
        <v>17879.4</v>
      </c>
      <c r="O18" s="60" t="n">
        <f aca="false">'Itens Consolidados'!Q21</f>
        <v>24.75</v>
      </c>
      <c r="P18" s="24" t="n">
        <f aca="false">'Itens Consolidados'!R21</f>
        <v>17560.125</v>
      </c>
    </row>
    <row r="19" customFormat="false" ht="15" hidden="false" customHeight="false" outlineLevel="0" collapsed="false">
      <c r="A19" s="61" t="s">
        <v>203</v>
      </c>
      <c r="B19" s="61"/>
      <c r="C19" s="61"/>
      <c r="D19" s="61"/>
      <c r="E19" s="61"/>
      <c r="F19" s="61"/>
      <c r="G19" s="61"/>
      <c r="H19" s="61"/>
      <c r="I19" s="61"/>
      <c r="J19" s="62" t="n">
        <f aca="false">SUM(J15:J18)</f>
        <v>241857.6</v>
      </c>
      <c r="K19" s="63"/>
      <c r="L19" s="62" t="n">
        <f aca="false">SUM(L15:L18)</f>
        <v>326507.76</v>
      </c>
      <c r="M19" s="63"/>
      <c r="N19" s="62" t="n">
        <f aca="false">SUM(N15:N18)</f>
        <v>338600.64</v>
      </c>
      <c r="O19" s="63"/>
      <c r="P19" s="62" t="n">
        <f aca="false">SUM(P15:P18)</f>
        <v>332554.2</v>
      </c>
    </row>
    <row r="20" customFormat="false" ht="15" hidden="false" customHeight="false" outlineLevel="0" collapsed="false">
      <c r="A20" s="64" t="str">
        <f aca="false">IF('Itens Consolidados'!D22="","",'Itens Consolidados'!D22)</f>
        <v>Aditivo 1</v>
      </c>
      <c r="B20" s="64" t="str">
        <f aca="false">IF('Itens Consolidados'!E22="","",'Itens Consolidados'!E22)</f>
        <v>24/07/2026</v>
      </c>
      <c r="C20" s="65" t="str">
        <f aca="false">IF('Itens Consolidados'!C22="","",'Itens Consolidados'!C22)</f>
        <v>4 - Centro de eventos</v>
      </c>
      <c r="D20" s="65" t="str">
        <f aca="false">IF('Itens Consolidados'!F22="","",'Itens Consolidados'!F22)</f>
        <v>00.000.001.001</v>
      </c>
      <c r="E20" s="64" t="str">
        <f aca="false">IF('Itens Consolidados'!G22="","",'Itens Consolidados'!G22)</f>
        <v>80407</v>
      </c>
      <c r="F20" s="66" t="str">
        <f aca="false">IF('Itens Consolidados'!H22="","",'Itens Consolidados'!H22)</f>
        <v>Piso de concreto desempenado</v>
      </c>
      <c r="G20" s="64" t="str">
        <f aca="false">IF('Itens Consolidados'!I22="","",'Itens Consolidados'!I22)</f>
        <v>m²</v>
      </c>
      <c r="H20" s="67" t="n">
        <f aca="false">'Itens Consolidados'!J22</f>
        <v>1982.43</v>
      </c>
      <c r="I20" s="68" t="n">
        <f aca="false">'Itens Consolidados'!K22</f>
        <v>15</v>
      </c>
      <c r="J20" s="69" t="n">
        <f aca="false">'Itens Consolidados'!L22</f>
        <v>29736.45</v>
      </c>
      <c r="K20" s="68" t="n">
        <f aca="false">'Itens Consolidados'!M22</f>
        <v>20.25</v>
      </c>
      <c r="L20" s="69" t="n">
        <f aca="false">'Itens Consolidados'!N22</f>
        <v>40144.2075</v>
      </c>
      <c r="M20" s="68" t="n">
        <f aca="false">'Itens Consolidados'!O22</f>
        <v>21</v>
      </c>
      <c r="N20" s="69" t="n">
        <f aca="false">'Itens Consolidados'!P22</f>
        <v>41631.03</v>
      </c>
      <c r="O20" s="68" t="n">
        <f aca="false">'Itens Consolidados'!Q22</f>
        <v>20.625</v>
      </c>
      <c r="P20" s="69" t="n">
        <f aca="false">'Itens Consolidados'!R22</f>
        <v>40887.61875</v>
      </c>
    </row>
    <row r="21" customFormat="false" ht="15" hidden="false" customHeight="false" outlineLevel="0" collapsed="false">
      <c r="A21" s="64" t="str">
        <f aca="false">IF('Itens Consolidados'!D23="","",'Itens Consolidados'!D23)</f>
        <v>Aditivo 1</v>
      </c>
      <c r="B21" s="64" t="str">
        <f aca="false">IF('Itens Consolidados'!E23="","",'Itens Consolidados'!E23)</f>
        <v>24/07/2026</v>
      </c>
      <c r="C21" s="65" t="str">
        <f aca="false">IF('Itens Consolidados'!C23="","",'Itens Consolidados'!C23)</f>
        <v>4 - Centro de eventos</v>
      </c>
      <c r="D21" s="65" t="str">
        <f aca="false">IF('Itens Consolidados'!F23="","",'Itens Consolidados'!F23)</f>
        <v>00.000.001.002</v>
      </c>
      <c r="E21" s="64" t="str">
        <f aca="false">IF('Itens Consolidados'!G23="","",'Itens Consolidados'!G23)</f>
        <v>80408</v>
      </c>
      <c r="F21" s="66" t="str">
        <f aca="false">IF('Itens Consolidados'!H23="","",'Itens Consolidados'!H23)</f>
        <v>Piso de concreto polido</v>
      </c>
      <c r="G21" s="64" t="str">
        <f aca="false">IF('Itens Consolidados'!I23="","",'Itens Consolidados'!I23)</f>
        <v>m²</v>
      </c>
      <c r="H21" s="67" t="n">
        <f aca="false">'Itens Consolidados'!J23</f>
        <v>1393.32</v>
      </c>
      <c r="I21" s="68" t="n">
        <f aca="false">'Itens Consolidados'!K23</f>
        <v>18</v>
      </c>
      <c r="J21" s="69" t="n">
        <f aca="false">'Itens Consolidados'!L23</f>
        <v>25079.76</v>
      </c>
      <c r="K21" s="68" t="n">
        <f aca="false">'Itens Consolidados'!M23</f>
        <v>24.3</v>
      </c>
      <c r="L21" s="69" t="n">
        <f aca="false">'Itens Consolidados'!N23</f>
        <v>33857.676</v>
      </c>
      <c r="M21" s="68" t="n">
        <f aca="false">'Itens Consolidados'!O23</f>
        <v>25.2</v>
      </c>
      <c r="N21" s="69" t="n">
        <f aca="false">'Itens Consolidados'!P23</f>
        <v>35111.664</v>
      </c>
      <c r="O21" s="68" t="n">
        <f aca="false">'Itens Consolidados'!Q23</f>
        <v>24.75</v>
      </c>
      <c r="P21" s="69" t="n">
        <f aca="false">'Itens Consolidados'!R23</f>
        <v>34484.67</v>
      </c>
    </row>
    <row r="22" customFormat="false" ht="15" hidden="false" customHeight="false" outlineLevel="0" collapsed="false">
      <c r="A22" s="61" t="s">
        <v>204</v>
      </c>
      <c r="B22" s="61"/>
      <c r="C22" s="61"/>
      <c r="D22" s="61"/>
      <c r="E22" s="61"/>
      <c r="F22" s="61"/>
      <c r="G22" s="61"/>
      <c r="H22" s="61"/>
      <c r="I22" s="61"/>
      <c r="J22" s="62" t="n">
        <f aca="false">SUM(J20:J21)</f>
        <v>54816.21</v>
      </c>
      <c r="K22" s="63"/>
      <c r="L22" s="62" t="n">
        <f aca="false">SUM(L20:L21)</f>
        <v>74001.8835</v>
      </c>
      <c r="M22" s="63"/>
      <c r="N22" s="62" t="n">
        <f aca="false">SUM(N20:N21)</f>
        <v>76742.694</v>
      </c>
      <c r="O22" s="63"/>
      <c r="P22" s="62" t="n">
        <f aca="false">SUM(P20:P21)</f>
        <v>75372.28875</v>
      </c>
    </row>
    <row r="23" customFormat="false" ht="19.5" hidden="false" customHeight="true" outlineLevel="0" collapsed="false">
      <c r="A23" s="25" t="s">
        <v>216</v>
      </c>
      <c r="B23" s="25"/>
      <c r="C23" s="25"/>
      <c r="D23" s="25"/>
      <c r="E23" s="25"/>
      <c r="F23" s="25"/>
      <c r="G23" s="25"/>
      <c r="H23" s="25"/>
      <c r="I23" s="25"/>
      <c r="J23" s="50" t="n">
        <f aca="false">J19+J22</f>
        <v>296673.81</v>
      </c>
      <c r="K23" s="51"/>
      <c r="L23" s="50" t="n">
        <f aca="false">L19+L22</f>
        <v>400509.6435</v>
      </c>
      <c r="M23" s="51"/>
      <c r="N23" s="50" t="n">
        <f aca="false">N19+N22</f>
        <v>415343.334</v>
      </c>
      <c r="O23" s="51"/>
      <c r="P23" s="50" t="n">
        <f aca="false">P19+P22</f>
        <v>407926.48875</v>
      </c>
    </row>
    <row r="24" customFormat="false" ht="15" hidden="false" customHeight="false" outlineLevel="0" collapsed="false">
      <c r="A24" s="70" t="s">
        <v>208</v>
      </c>
      <c r="B24" s="70"/>
      <c r="C24" s="70"/>
      <c r="D24" s="70"/>
      <c r="E24" s="70"/>
      <c r="F24" s="70"/>
      <c r="G24" s="70"/>
      <c r="H24" s="70"/>
      <c r="I24" s="70"/>
      <c r="P24" s="71" t="n">
        <f aca="false">P23-J23</f>
        <v>111252.67875</v>
      </c>
    </row>
  </sheetData>
  <mergeCells count="20">
    <mergeCell ref="A1:P1"/>
    <mergeCell ref="A2:P2"/>
    <mergeCell ref="A4:C4"/>
    <mergeCell ref="D4:P4"/>
    <mergeCell ref="A5:C5"/>
    <mergeCell ref="D5:P5"/>
    <mergeCell ref="A6:C6"/>
    <mergeCell ref="D6:P6"/>
    <mergeCell ref="A7:C7"/>
    <mergeCell ref="D7:P7"/>
    <mergeCell ref="A8:C8"/>
    <mergeCell ref="D8:P8"/>
    <mergeCell ref="A9:C9"/>
    <mergeCell ref="D9:P9"/>
    <mergeCell ref="A12:C12"/>
    <mergeCell ref="D12:P12"/>
    <mergeCell ref="A19:I19"/>
    <mergeCell ref="A22:I22"/>
    <mergeCell ref="A23:I23"/>
    <mergeCell ref="A24:I24"/>
  </mergeCells>
  <printOptions headings="false" gridLines="false" gridLinesSet="true" horizontalCentered="true" verticalCentered="false"/>
  <pageMargins left="0.3" right="0.3" top="0.4" bottom="0.4"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CT-164&amp;R&amp;8 Página &amp;P de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7C7C7"/>
    <pageSetUpPr fitToPage="true"/>
  </sheetPr>
  <dimension ref="A1:P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20"/>
    <col collapsed="false" customWidth="true" hidden="false" outlineLevel="0" max="4" min="4" style="0" width="15"/>
    <col collapsed="false" customWidth="true" hidden="false" outlineLevel="0" max="5" min="5" style="0" width="9"/>
    <col collapsed="false" customWidth="true" hidden="false" outlineLevel="0" max="6" min="6" style="0" width="62"/>
    <col collapsed="false" customWidth="true" hidden="false" outlineLevel="0" max="7" min="7" style="0" width="7"/>
    <col collapsed="false" customWidth="true" hidden="false" outlineLevel="0" max="8" min="8" style="0" width="13"/>
    <col collapsed="false" customWidth="true" hidden="false" outlineLevel="0" max="16" min="9" style="0" width="15"/>
  </cols>
  <sheetData>
    <row r="1" customFormat="false" ht="33.75" hidden="false" customHeight="true" outlineLevel="0" collapsed="false">
      <c r="A1" s="1" t="s">
        <v>217</v>
      </c>
      <c r="B1" s="1"/>
      <c r="C1" s="1"/>
      <c r="D1" s="1"/>
      <c r="E1" s="1"/>
      <c r="F1" s="1"/>
      <c r="G1" s="1"/>
      <c r="H1" s="1"/>
      <c r="I1" s="1"/>
      <c r="J1" s="1"/>
      <c r="K1" s="1"/>
      <c r="L1" s="1"/>
      <c r="M1" s="1"/>
      <c r="N1" s="1"/>
      <c r="O1" s="1"/>
      <c r="P1" s="1"/>
    </row>
    <row r="2" customFormat="false" ht="15.75" hidden="false" customHeight="true" outlineLevel="0" collapsed="false">
      <c r="A2" s="2" t="s">
        <v>218</v>
      </c>
      <c r="B2" s="2"/>
      <c r="C2" s="2"/>
      <c r="D2" s="2"/>
      <c r="E2" s="2"/>
      <c r="F2" s="2"/>
      <c r="G2" s="2"/>
      <c r="H2" s="2"/>
      <c r="I2" s="2"/>
      <c r="J2" s="2"/>
      <c r="K2" s="2"/>
      <c r="L2" s="2"/>
      <c r="M2" s="2"/>
      <c r="N2" s="2"/>
      <c r="O2" s="2"/>
      <c r="P2" s="2"/>
    </row>
    <row r="4" customFormat="false" ht="15" hidden="false" customHeight="true" outlineLevel="0" collapsed="false">
      <c r="A4" s="52" t="s">
        <v>186</v>
      </c>
      <c r="B4" s="52"/>
      <c r="C4" s="52"/>
      <c r="D4" s="53" t="s">
        <v>61</v>
      </c>
      <c r="E4" s="53"/>
      <c r="F4" s="53"/>
      <c r="G4" s="53"/>
      <c r="H4" s="53"/>
      <c r="I4" s="53"/>
      <c r="J4" s="53"/>
      <c r="K4" s="53"/>
      <c r="L4" s="53"/>
      <c r="M4" s="53"/>
      <c r="N4" s="53"/>
      <c r="O4" s="53"/>
      <c r="P4" s="53"/>
    </row>
    <row r="5" customFormat="false" ht="15" hidden="false" customHeight="true" outlineLevel="0" collapsed="false">
      <c r="A5" s="52" t="s">
        <v>187</v>
      </c>
      <c r="B5" s="52"/>
      <c r="C5" s="52"/>
      <c r="D5" s="53" t="s">
        <v>219</v>
      </c>
      <c r="E5" s="53"/>
      <c r="F5" s="53"/>
      <c r="G5" s="53"/>
      <c r="H5" s="53"/>
      <c r="I5" s="53"/>
      <c r="J5" s="53"/>
      <c r="K5" s="53"/>
      <c r="L5" s="53"/>
      <c r="M5" s="53"/>
      <c r="N5" s="53"/>
      <c r="O5" s="53"/>
      <c r="P5" s="53"/>
    </row>
    <row r="6" customFormat="false" ht="15" hidden="false" customHeight="true" outlineLevel="0" collapsed="false">
      <c r="A6" s="52" t="s">
        <v>189</v>
      </c>
      <c r="B6" s="52"/>
      <c r="C6" s="52"/>
      <c r="D6" s="53" t="s">
        <v>220</v>
      </c>
      <c r="E6" s="53"/>
      <c r="F6" s="53"/>
      <c r="G6" s="53"/>
      <c r="H6" s="53"/>
      <c r="I6" s="53"/>
      <c r="J6" s="53"/>
      <c r="K6" s="53"/>
      <c r="L6" s="53"/>
      <c r="M6" s="53"/>
      <c r="N6" s="53"/>
      <c r="O6" s="53"/>
      <c r="P6" s="53"/>
    </row>
    <row r="7" customFormat="false" ht="15" hidden="false" customHeight="true" outlineLevel="0" collapsed="false">
      <c r="A7" s="52" t="s">
        <v>191</v>
      </c>
      <c r="B7" s="52"/>
      <c r="C7" s="52"/>
      <c r="D7" s="53" t="s">
        <v>221</v>
      </c>
      <c r="E7" s="53"/>
      <c r="F7" s="53"/>
      <c r="G7" s="53"/>
      <c r="H7" s="53"/>
      <c r="I7" s="53"/>
      <c r="J7" s="53"/>
      <c r="K7" s="53"/>
      <c r="L7" s="53"/>
      <c r="M7" s="53"/>
      <c r="N7" s="53"/>
      <c r="O7" s="53"/>
      <c r="P7" s="53"/>
    </row>
    <row r="8" customFormat="false" ht="15" hidden="false" customHeight="true" outlineLevel="0" collapsed="false">
      <c r="A8" s="52" t="s">
        <v>193</v>
      </c>
      <c r="B8" s="52"/>
      <c r="C8" s="52"/>
      <c r="D8" s="53" t="s">
        <v>62</v>
      </c>
      <c r="E8" s="53"/>
      <c r="F8" s="53"/>
      <c r="G8" s="53"/>
      <c r="H8" s="53"/>
      <c r="I8" s="53"/>
      <c r="J8" s="53"/>
      <c r="K8" s="53"/>
      <c r="L8" s="53"/>
      <c r="M8" s="53"/>
      <c r="N8" s="53"/>
      <c r="O8" s="53"/>
      <c r="P8" s="53"/>
    </row>
    <row r="9" customFormat="false" ht="15" hidden="false" customHeight="true" outlineLevel="0" collapsed="false">
      <c r="A9" s="52" t="s">
        <v>194</v>
      </c>
      <c r="B9" s="52"/>
      <c r="C9" s="52"/>
      <c r="D9" s="53" t="s">
        <v>222</v>
      </c>
      <c r="E9" s="53"/>
      <c r="F9" s="53"/>
      <c r="G9" s="53"/>
      <c r="H9" s="53"/>
      <c r="I9" s="53"/>
      <c r="J9" s="53"/>
      <c r="K9" s="53"/>
      <c r="L9" s="53"/>
      <c r="M9" s="53"/>
      <c r="N9" s="53"/>
      <c r="O9" s="53"/>
      <c r="P9" s="53"/>
    </row>
    <row r="11" customFormat="false" ht="15" hidden="false" customHeight="false" outlineLevel="0" collapsed="false">
      <c r="A11" s="3" t="s">
        <v>196</v>
      </c>
    </row>
    <row r="12" customFormat="false" ht="13.5" hidden="false" customHeight="true" outlineLevel="0" collapsed="false">
      <c r="A12" s="54" t="s">
        <v>223</v>
      </c>
      <c r="B12" s="54"/>
      <c r="C12" s="54"/>
      <c r="D12" s="55" t="s">
        <v>224</v>
      </c>
      <c r="E12" s="55"/>
      <c r="F12" s="55"/>
      <c r="G12" s="55"/>
      <c r="H12" s="55"/>
      <c r="I12" s="55"/>
      <c r="J12" s="55"/>
      <c r="K12" s="55"/>
      <c r="L12" s="55"/>
      <c r="M12" s="55"/>
      <c r="N12" s="55"/>
      <c r="O12" s="55"/>
      <c r="P12" s="55"/>
    </row>
    <row r="13" customFormat="false" ht="13.5" hidden="false" customHeight="true" outlineLevel="0" collapsed="false">
      <c r="A13" s="54" t="s">
        <v>225</v>
      </c>
      <c r="B13" s="54"/>
      <c r="C13" s="54"/>
      <c r="D13" s="55" t="s">
        <v>226</v>
      </c>
      <c r="E13" s="55"/>
      <c r="F13" s="55"/>
      <c r="G13" s="55"/>
      <c r="H13" s="55"/>
      <c r="I13" s="55"/>
      <c r="J13" s="55"/>
      <c r="K13" s="55"/>
      <c r="L13" s="55"/>
      <c r="M13" s="55"/>
      <c r="N13" s="55"/>
      <c r="O13" s="55"/>
      <c r="P13" s="55"/>
    </row>
    <row r="15" customFormat="false" ht="30" hidden="false" customHeight="true" outlineLevel="0" collapsed="false">
      <c r="A15" s="18" t="s">
        <v>96</v>
      </c>
      <c r="B15" s="18" t="s">
        <v>97</v>
      </c>
      <c r="C15" s="18" t="s">
        <v>95</v>
      </c>
      <c r="D15" s="18" t="s">
        <v>98</v>
      </c>
      <c r="E15" s="18" t="s">
        <v>99</v>
      </c>
      <c r="F15" s="18" t="s">
        <v>100</v>
      </c>
      <c r="G15" s="18" t="s">
        <v>101</v>
      </c>
      <c r="H15" s="18" t="s">
        <v>102</v>
      </c>
      <c r="I15" s="18" t="s">
        <v>103</v>
      </c>
      <c r="J15" s="18" t="s">
        <v>104</v>
      </c>
      <c r="K15" s="18" t="s">
        <v>105</v>
      </c>
      <c r="L15" s="18" t="s">
        <v>43</v>
      </c>
      <c r="M15" s="18" t="s">
        <v>106</v>
      </c>
      <c r="N15" s="18" t="s">
        <v>44</v>
      </c>
      <c r="O15" s="18" t="s">
        <v>107</v>
      </c>
      <c r="P15" s="18" t="s">
        <v>45</v>
      </c>
    </row>
    <row r="16" customFormat="false" ht="35.05" hidden="false" customHeight="false" outlineLevel="0" collapsed="false">
      <c r="A16" s="56" t="str">
        <f aca="false">IF('Itens Consolidados'!D24="","",'Itens Consolidados'!D24)</f>
        <v>Inicial</v>
      </c>
      <c r="B16" s="56" t="str">
        <f aca="false">IF('Itens Consolidados'!E24="","",'Itens Consolidados'!E24)</f>
        <v/>
      </c>
      <c r="C16" s="57" t="str">
        <f aca="false">IF('Itens Consolidados'!C24="","",'Itens Consolidados'!C24)</f>
        <v>4 - Centro de eventos</v>
      </c>
      <c r="D16" s="57" t="str">
        <f aca="false">IF('Itens Consolidados'!F24="","",'Itens Consolidados'!F24)</f>
        <v>00.001.001.001</v>
      </c>
      <c r="E16" s="56" t="str">
        <f aca="false">IF('Itens Consolidados'!G24="","",'Itens Consolidados'!G24)</f>
        <v>80388</v>
      </c>
      <c r="F16" s="58" t="str">
        <f aca="false">IF('Itens Consolidados'!H24="","",'Itens Consolidados'!H24)</f>
        <v>Execução de parede em drywall, composta por estrutura simples em perfis metálicos galvanizados, com fechamento em chapas ST, incluindo montagem, fixação e acabamentos necessários.</v>
      </c>
      <c r="G16" s="56" t="str">
        <f aca="false">IF('Itens Consolidados'!I24="","",'Itens Consolidados'!I24)</f>
        <v>m²</v>
      </c>
      <c r="H16" s="59" t="n">
        <f aca="false">'Itens Consolidados'!J24</f>
        <v>500</v>
      </c>
      <c r="I16" s="60" t="n">
        <f aca="false">'Itens Consolidados'!K24</f>
        <v>65</v>
      </c>
      <c r="J16" s="24" t="n">
        <f aca="false">'Itens Consolidados'!L24</f>
        <v>32500</v>
      </c>
      <c r="K16" s="60" t="n">
        <f aca="false">'Itens Consolidados'!M24</f>
        <v>87.75</v>
      </c>
      <c r="L16" s="24" t="n">
        <f aca="false">'Itens Consolidados'!N24</f>
        <v>43875</v>
      </c>
      <c r="M16" s="60" t="n">
        <f aca="false">'Itens Consolidados'!O24</f>
        <v>91</v>
      </c>
      <c r="N16" s="24" t="n">
        <f aca="false">'Itens Consolidados'!P24</f>
        <v>45500</v>
      </c>
      <c r="O16" s="60" t="n">
        <f aca="false">'Itens Consolidados'!Q24</f>
        <v>89.375</v>
      </c>
      <c r="P16" s="24" t="n">
        <f aca="false">'Itens Consolidados'!R24</f>
        <v>44687.5</v>
      </c>
    </row>
    <row r="17" customFormat="false" ht="15" hidden="false" customHeight="false" outlineLevel="0" collapsed="false">
      <c r="A17" s="61" t="s">
        <v>203</v>
      </c>
      <c r="B17" s="61"/>
      <c r="C17" s="61"/>
      <c r="D17" s="61"/>
      <c r="E17" s="61"/>
      <c r="F17" s="61"/>
      <c r="G17" s="61"/>
      <c r="H17" s="61"/>
      <c r="I17" s="61"/>
      <c r="J17" s="62" t="n">
        <f aca="false">SUM(J16:J16)</f>
        <v>32500</v>
      </c>
      <c r="K17" s="63"/>
      <c r="L17" s="62" t="n">
        <f aca="false">SUM(L16:L16)</f>
        <v>43875</v>
      </c>
      <c r="M17" s="63"/>
      <c r="N17" s="62" t="n">
        <f aca="false">SUM(N16:N16)</f>
        <v>45500</v>
      </c>
      <c r="O17" s="63"/>
      <c r="P17" s="62" t="n">
        <f aca="false">SUM(P16:P16)</f>
        <v>44687.5</v>
      </c>
    </row>
    <row r="18" customFormat="false" ht="35.05" hidden="false" customHeight="false" outlineLevel="0" collapsed="false">
      <c r="A18" s="64" t="str">
        <f aca="false">IF('Itens Consolidados'!D25="","",'Itens Consolidados'!D25)</f>
        <v>Aditivo 1</v>
      </c>
      <c r="B18" s="64" t="str">
        <f aca="false">IF('Itens Consolidados'!E25="","",'Itens Consolidados'!E25)</f>
        <v>03/07/2026</v>
      </c>
      <c r="C18" s="65" t="str">
        <f aca="false">IF('Itens Consolidados'!C25="","",'Itens Consolidados'!C25)</f>
        <v>4 - Centro de eventos</v>
      </c>
      <c r="D18" s="65" t="str">
        <f aca="false">IF('Itens Consolidados'!F25="","",'Itens Consolidados'!F25)</f>
        <v>00.001.001.001</v>
      </c>
      <c r="E18" s="64" t="str">
        <f aca="false">IF('Itens Consolidados'!G25="","",'Itens Consolidados'!G25)</f>
        <v>80388</v>
      </c>
      <c r="F18" s="66" t="str">
        <f aca="false">IF('Itens Consolidados'!H25="","",'Itens Consolidados'!H25)</f>
        <v>Execução de parede em drywall, composta por estrutura simples em perfis metálicos galvanizados, com fechamento em chapas ST, incluindo montagem, fixação e acabamentos necessários.</v>
      </c>
      <c r="G18" s="64" t="str">
        <f aca="false">IF('Itens Consolidados'!I25="","",'Itens Consolidados'!I25)</f>
        <v>m²</v>
      </c>
      <c r="H18" s="67" t="n">
        <f aca="false">'Itens Consolidados'!J25</f>
        <v>700</v>
      </c>
      <c r="I18" s="68" t="n">
        <f aca="false">'Itens Consolidados'!K25</f>
        <v>65</v>
      </c>
      <c r="J18" s="69" t="n">
        <f aca="false">'Itens Consolidados'!L25</f>
        <v>45500</v>
      </c>
      <c r="K18" s="68" t="n">
        <f aca="false">'Itens Consolidados'!M25</f>
        <v>87.75</v>
      </c>
      <c r="L18" s="69" t="n">
        <f aca="false">'Itens Consolidados'!N25</f>
        <v>61425</v>
      </c>
      <c r="M18" s="68" t="n">
        <f aca="false">'Itens Consolidados'!O25</f>
        <v>91</v>
      </c>
      <c r="N18" s="69" t="n">
        <f aca="false">'Itens Consolidados'!P25</f>
        <v>63700</v>
      </c>
      <c r="O18" s="68" t="n">
        <f aca="false">'Itens Consolidados'!Q25</f>
        <v>89.375</v>
      </c>
      <c r="P18" s="69" t="n">
        <f aca="false">'Itens Consolidados'!R25</f>
        <v>62562.5</v>
      </c>
    </row>
    <row r="19" customFormat="false" ht="15" hidden="false" customHeight="false" outlineLevel="0" collapsed="false">
      <c r="A19" s="61" t="s">
        <v>204</v>
      </c>
      <c r="B19" s="61"/>
      <c r="C19" s="61"/>
      <c r="D19" s="61"/>
      <c r="E19" s="61"/>
      <c r="F19" s="61"/>
      <c r="G19" s="61"/>
      <c r="H19" s="61"/>
      <c r="I19" s="61"/>
      <c r="J19" s="62" t="n">
        <f aca="false">SUM(J18:J18)</f>
        <v>45500</v>
      </c>
      <c r="K19" s="63"/>
      <c r="L19" s="62" t="n">
        <f aca="false">SUM(L18:L18)</f>
        <v>61425</v>
      </c>
      <c r="M19" s="63"/>
      <c r="N19" s="62" t="n">
        <f aca="false">SUM(N18:N18)</f>
        <v>63700</v>
      </c>
      <c r="O19" s="63"/>
      <c r="P19" s="62" t="n">
        <f aca="false">SUM(P18:P18)</f>
        <v>62562.5</v>
      </c>
    </row>
    <row r="20" customFormat="false" ht="35.05" hidden="false" customHeight="false" outlineLevel="0" collapsed="false">
      <c r="A20" s="64" t="str">
        <f aca="false">IF('Itens Consolidados'!D26="","",'Itens Consolidados'!D26)</f>
        <v>Aditivo 2</v>
      </c>
      <c r="B20" s="64" t="str">
        <f aca="false">IF('Itens Consolidados'!E26="","",'Itens Consolidados'!E26)</f>
        <v>31/07/2026</v>
      </c>
      <c r="C20" s="65" t="str">
        <f aca="false">IF('Itens Consolidados'!C26="","",'Itens Consolidados'!C26)</f>
        <v>4 - Centro de eventos</v>
      </c>
      <c r="D20" s="65" t="str">
        <f aca="false">IF('Itens Consolidados'!F26="","",'Itens Consolidados'!F26)</f>
        <v>00.001.001.001</v>
      </c>
      <c r="E20" s="64" t="str">
        <f aca="false">IF('Itens Consolidados'!G26="","",'Itens Consolidados'!G26)</f>
        <v>80388</v>
      </c>
      <c r="F20" s="66" t="str">
        <f aca="false">IF('Itens Consolidados'!H26="","",'Itens Consolidados'!H26)</f>
        <v>Execução de parede em drywall, composta por estrutura simples em perfis metálicos galvanizados, com fechamento em chapas ST, incluindo montagem, fixação e acabamentos necessários.</v>
      </c>
      <c r="G20" s="64" t="str">
        <f aca="false">IF('Itens Consolidados'!I26="","",'Itens Consolidados'!I26)</f>
        <v>m²</v>
      </c>
      <c r="H20" s="67" t="n">
        <f aca="false">'Itens Consolidados'!J26</f>
        <v>203.75</v>
      </c>
      <c r="I20" s="68" t="n">
        <f aca="false">'Itens Consolidados'!K26</f>
        <v>65</v>
      </c>
      <c r="J20" s="69" t="n">
        <f aca="false">'Itens Consolidados'!L26</f>
        <v>13243.75</v>
      </c>
      <c r="K20" s="68" t="n">
        <f aca="false">'Itens Consolidados'!M26</f>
        <v>87.75</v>
      </c>
      <c r="L20" s="69" t="n">
        <f aca="false">'Itens Consolidados'!N26</f>
        <v>17879.0625</v>
      </c>
      <c r="M20" s="68" t="n">
        <f aca="false">'Itens Consolidados'!O26</f>
        <v>91</v>
      </c>
      <c r="N20" s="69" t="n">
        <f aca="false">'Itens Consolidados'!P26</f>
        <v>18541.25</v>
      </c>
      <c r="O20" s="68" t="n">
        <f aca="false">'Itens Consolidados'!Q26</f>
        <v>89.375</v>
      </c>
      <c r="P20" s="69" t="n">
        <f aca="false">'Itens Consolidados'!R26</f>
        <v>18210.15625</v>
      </c>
    </row>
    <row r="21" customFormat="false" ht="15" hidden="false" customHeight="false" outlineLevel="0" collapsed="false">
      <c r="A21" s="64" t="str">
        <f aca="false">IF('Itens Consolidados'!D27="","",'Itens Consolidados'!D27)</f>
        <v>Aditivo 2</v>
      </c>
      <c r="B21" s="64" t="str">
        <f aca="false">IF('Itens Consolidados'!E27="","",'Itens Consolidados'!E27)</f>
        <v>31/07/2026</v>
      </c>
      <c r="C21" s="65" t="str">
        <f aca="false">IF('Itens Consolidados'!C27="","",'Itens Consolidados'!C27)</f>
        <v>4 - Centro de eventos</v>
      </c>
      <c r="D21" s="65" t="str">
        <f aca="false">IF('Itens Consolidados'!F27="","",'Itens Consolidados'!F27)</f>
        <v>00.001.001.002</v>
      </c>
      <c r="E21" s="64" t="str">
        <f aca="false">IF('Itens Consolidados'!G27="","",'Itens Consolidados'!G27)</f>
        <v>80362</v>
      </c>
      <c r="F21" s="66" t="str">
        <f aca="false">IF('Itens Consolidados'!H27="","",'Itens Consolidados'!H27)</f>
        <v>Execução de requadros em gesso acartonado.</v>
      </c>
      <c r="G21" s="64" t="str">
        <f aca="false">IF('Itens Consolidados'!I27="","",'Itens Consolidados'!I27)</f>
        <v>m</v>
      </c>
      <c r="H21" s="67" t="n">
        <f aca="false">'Itens Consolidados'!J27</f>
        <v>301.2</v>
      </c>
      <c r="I21" s="68" t="n">
        <f aca="false">'Itens Consolidados'!K27</f>
        <v>20</v>
      </c>
      <c r="J21" s="69" t="n">
        <f aca="false">'Itens Consolidados'!L27</f>
        <v>6024</v>
      </c>
      <c r="K21" s="68" t="n">
        <f aca="false">'Itens Consolidados'!M27</f>
        <v>27</v>
      </c>
      <c r="L21" s="69" t="n">
        <f aca="false">'Itens Consolidados'!N27</f>
        <v>8132.4</v>
      </c>
      <c r="M21" s="68" t="n">
        <f aca="false">'Itens Consolidados'!O27</f>
        <v>28</v>
      </c>
      <c r="N21" s="69" t="n">
        <f aca="false">'Itens Consolidados'!P27</f>
        <v>8433.6</v>
      </c>
      <c r="O21" s="68" t="n">
        <f aca="false">'Itens Consolidados'!Q27</f>
        <v>27.5</v>
      </c>
      <c r="P21" s="69" t="n">
        <f aca="false">'Itens Consolidados'!R27</f>
        <v>8283</v>
      </c>
    </row>
    <row r="22" customFormat="false" ht="15" hidden="false" customHeight="false" outlineLevel="0" collapsed="false">
      <c r="A22" s="64" t="str">
        <f aca="false">IF('Itens Consolidados'!D28="","",'Itens Consolidados'!D28)</f>
        <v>Aditivo 2</v>
      </c>
      <c r="B22" s="64" t="str">
        <f aca="false">IF('Itens Consolidados'!E28="","",'Itens Consolidados'!E28)</f>
        <v>31/07/2026</v>
      </c>
      <c r="C22" s="65" t="str">
        <f aca="false">IF('Itens Consolidados'!C28="","",'Itens Consolidados'!C28)</f>
        <v>4 - Centro de eventos</v>
      </c>
      <c r="D22" s="65" t="str">
        <f aca="false">IF('Itens Consolidados'!F28="","",'Itens Consolidados'!F28)</f>
        <v>00.001.001.003</v>
      </c>
      <c r="E22" s="64" t="str">
        <f aca="false">IF('Itens Consolidados'!G28="","",'Itens Consolidados'!G28)</f>
        <v>80388</v>
      </c>
      <c r="F22" s="66" t="str">
        <f aca="false">IF('Itens Consolidados'!H28="","",'Itens Consolidados'!H28)</f>
        <v>Execução de forro em gesso acartonado.</v>
      </c>
      <c r="G22" s="64" t="str">
        <f aca="false">IF('Itens Consolidados'!I28="","",'Itens Consolidados'!I28)</f>
        <v>m²</v>
      </c>
      <c r="H22" s="67" t="n">
        <f aca="false">'Itens Consolidados'!J28</f>
        <v>317.77</v>
      </c>
      <c r="I22" s="68" t="n">
        <f aca="false">'Itens Consolidados'!K28</f>
        <v>30</v>
      </c>
      <c r="J22" s="69" t="n">
        <f aca="false">'Itens Consolidados'!L28</f>
        <v>9533.1</v>
      </c>
      <c r="K22" s="68" t="n">
        <f aca="false">'Itens Consolidados'!M28</f>
        <v>40.5</v>
      </c>
      <c r="L22" s="69" t="n">
        <f aca="false">'Itens Consolidados'!N28</f>
        <v>12869.685</v>
      </c>
      <c r="M22" s="68" t="n">
        <f aca="false">'Itens Consolidados'!O28</f>
        <v>42</v>
      </c>
      <c r="N22" s="69" t="n">
        <f aca="false">'Itens Consolidados'!P28</f>
        <v>13346.34</v>
      </c>
      <c r="O22" s="68" t="n">
        <f aca="false">'Itens Consolidados'!Q28</f>
        <v>41.25</v>
      </c>
      <c r="P22" s="69" t="n">
        <f aca="false">'Itens Consolidados'!R28</f>
        <v>13108.0125</v>
      </c>
    </row>
    <row r="23" customFormat="false" ht="15" hidden="false" customHeight="false" outlineLevel="0" collapsed="false">
      <c r="A23" s="64" t="str">
        <f aca="false">IF('Itens Consolidados'!D29="","",'Itens Consolidados'!D29)</f>
        <v>Aditivo 2</v>
      </c>
      <c r="B23" s="64" t="str">
        <f aca="false">IF('Itens Consolidados'!E29="","",'Itens Consolidados'!E29)</f>
        <v>31/07/2026</v>
      </c>
      <c r="C23" s="65" t="str">
        <f aca="false">IF('Itens Consolidados'!C29="","",'Itens Consolidados'!C29)</f>
        <v>4 - Centro de eventos</v>
      </c>
      <c r="D23" s="65" t="str">
        <f aca="false">IF('Itens Consolidados'!F29="","",'Itens Consolidados'!F29)</f>
        <v>00.001.001.004</v>
      </c>
      <c r="E23" s="64" t="str">
        <f aca="false">IF('Itens Consolidados'!G29="","",'Itens Consolidados'!G29)</f>
        <v>80388</v>
      </c>
      <c r="F23" s="66" t="str">
        <f aca="false">IF('Itens Consolidados'!H29="","",'Itens Consolidados'!H29)</f>
        <v>Execução de paredes em Steelframe com MDF.</v>
      </c>
      <c r="G23" s="64" t="str">
        <f aca="false">IF('Itens Consolidados'!I29="","",'Itens Consolidados'!I29)</f>
        <v>m²</v>
      </c>
      <c r="H23" s="67" t="n">
        <f aca="false">'Itens Consolidados'!J29</f>
        <v>253.46</v>
      </c>
      <c r="I23" s="68" t="n">
        <f aca="false">'Itens Consolidados'!K29</f>
        <v>70</v>
      </c>
      <c r="J23" s="69" t="n">
        <f aca="false">'Itens Consolidados'!L29</f>
        <v>17742.2</v>
      </c>
      <c r="K23" s="68" t="n">
        <f aca="false">'Itens Consolidados'!M29</f>
        <v>94.5</v>
      </c>
      <c r="L23" s="69" t="n">
        <f aca="false">'Itens Consolidados'!N29</f>
        <v>23951.97</v>
      </c>
      <c r="M23" s="68" t="n">
        <f aca="false">'Itens Consolidados'!O29</f>
        <v>98</v>
      </c>
      <c r="N23" s="69" t="n">
        <f aca="false">'Itens Consolidados'!P29</f>
        <v>24839.08</v>
      </c>
      <c r="O23" s="68" t="n">
        <f aca="false">'Itens Consolidados'!Q29</f>
        <v>96.25</v>
      </c>
      <c r="P23" s="69" t="n">
        <f aca="false">'Itens Consolidados'!R29</f>
        <v>24395.525</v>
      </c>
    </row>
    <row r="24" customFormat="false" ht="15" hidden="false" customHeight="false" outlineLevel="0" collapsed="false">
      <c r="A24" s="61" t="s">
        <v>205</v>
      </c>
      <c r="B24" s="61"/>
      <c r="C24" s="61"/>
      <c r="D24" s="61"/>
      <c r="E24" s="61"/>
      <c r="F24" s="61"/>
      <c r="G24" s="61"/>
      <c r="H24" s="61"/>
      <c r="I24" s="61"/>
      <c r="J24" s="62" t="n">
        <f aca="false">SUM(J20:J23)</f>
        <v>46543.05</v>
      </c>
      <c r="K24" s="63"/>
      <c r="L24" s="62" t="n">
        <f aca="false">SUM(L20:L23)</f>
        <v>62833.1175</v>
      </c>
      <c r="M24" s="63"/>
      <c r="N24" s="62" t="n">
        <f aca="false">SUM(N20:N23)</f>
        <v>65160.27</v>
      </c>
      <c r="O24" s="63"/>
      <c r="P24" s="62" t="n">
        <f aca="false">SUM(P20:P23)</f>
        <v>63996.69375</v>
      </c>
    </row>
    <row r="25" customFormat="false" ht="19.5" hidden="false" customHeight="true" outlineLevel="0" collapsed="false">
      <c r="A25" s="25" t="s">
        <v>227</v>
      </c>
      <c r="B25" s="25"/>
      <c r="C25" s="25"/>
      <c r="D25" s="25"/>
      <c r="E25" s="25"/>
      <c r="F25" s="25"/>
      <c r="G25" s="25"/>
      <c r="H25" s="25"/>
      <c r="I25" s="25"/>
      <c r="J25" s="50" t="n">
        <f aca="false">J17+J19+J24</f>
        <v>124543.05</v>
      </c>
      <c r="K25" s="51"/>
      <c r="L25" s="50" t="n">
        <f aca="false">L17+L19+L24</f>
        <v>168133.1175</v>
      </c>
      <c r="M25" s="51"/>
      <c r="N25" s="50" t="n">
        <f aca="false">N17+N19+N24</f>
        <v>174360.27</v>
      </c>
      <c r="O25" s="51"/>
      <c r="P25" s="50" t="n">
        <f aca="false">P17+P19+P24</f>
        <v>171246.69375</v>
      </c>
    </row>
    <row r="26" customFormat="false" ht="15" hidden="false" customHeight="false" outlineLevel="0" collapsed="false">
      <c r="A26" s="70" t="s">
        <v>208</v>
      </c>
      <c r="B26" s="70"/>
      <c r="C26" s="70"/>
      <c r="D26" s="70"/>
      <c r="E26" s="70"/>
      <c r="F26" s="70"/>
      <c r="G26" s="70"/>
      <c r="H26" s="70"/>
      <c r="I26" s="70"/>
      <c r="P26" s="71" t="n">
        <f aca="false">P25-J25</f>
        <v>46703.64375</v>
      </c>
    </row>
  </sheetData>
  <mergeCells count="23">
    <mergeCell ref="A1:P1"/>
    <mergeCell ref="A2:P2"/>
    <mergeCell ref="A4:C4"/>
    <mergeCell ref="D4:P4"/>
    <mergeCell ref="A5:C5"/>
    <mergeCell ref="D5:P5"/>
    <mergeCell ref="A6:C6"/>
    <mergeCell ref="D6:P6"/>
    <mergeCell ref="A7:C7"/>
    <mergeCell ref="D7:P7"/>
    <mergeCell ref="A8:C8"/>
    <mergeCell ref="D8:P8"/>
    <mergeCell ref="A9:C9"/>
    <mergeCell ref="D9:P9"/>
    <mergeCell ref="A12:C12"/>
    <mergeCell ref="D12:P12"/>
    <mergeCell ref="A13:C13"/>
    <mergeCell ref="D13:P13"/>
    <mergeCell ref="A17:I17"/>
    <mergeCell ref="A19:I19"/>
    <mergeCell ref="A24:I24"/>
    <mergeCell ref="A25:I25"/>
    <mergeCell ref="A26:I26"/>
  </mergeCells>
  <printOptions headings="false" gridLines="false" gridLinesSet="true" horizontalCentered="true" verticalCentered="false"/>
  <pageMargins left="0.3" right="0.3" top="0.4" bottom="0.4"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CT-196&amp;R&amp;8 Página &amp;P de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7C7C7"/>
    <pageSetUpPr fitToPage="true"/>
  </sheetPr>
  <dimension ref="A1:P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20"/>
    <col collapsed="false" customWidth="true" hidden="false" outlineLevel="0" max="4" min="4" style="0" width="15"/>
    <col collapsed="false" customWidth="true" hidden="false" outlineLevel="0" max="5" min="5" style="0" width="9"/>
    <col collapsed="false" customWidth="true" hidden="false" outlineLevel="0" max="6" min="6" style="0" width="62"/>
    <col collapsed="false" customWidth="true" hidden="false" outlineLevel="0" max="7" min="7" style="0" width="7"/>
    <col collapsed="false" customWidth="true" hidden="false" outlineLevel="0" max="8" min="8" style="0" width="13"/>
    <col collapsed="false" customWidth="true" hidden="false" outlineLevel="0" max="16" min="9" style="0" width="15"/>
  </cols>
  <sheetData>
    <row r="1" customFormat="false" ht="33.75" hidden="false" customHeight="true" outlineLevel="0" collapsed="false">
      <c r="A1" s="1" t="s">
        <v>228</v>
      </c>
      <c r="B1" s="1"/>
      <c r="C1" s="1"/>
      <c r="D1" s="1"/>
      <c r="E1" s="1"/>
      <c r="F1" s="1"/>
      <c r="G1" s="1"/>
      <c r="H1" s="1"/>
      <c r="I1" s="1"/>
      <c r="J1" s="1"/>
      <c r="K1" s="1"/>
      <c r="L1" s="1"/>
      <c r="M1" s="1"/>
      <c r="N1" s="1"/>
      <c r="O1" s="1"/>
      <c r="P1" s="1"/>
    </row>
    <row r="2" customFormat="false" ht="15.75" hidden="false" customHeight="true" outlineLevel="0" collapsed="false">
      <c r="A2" s="2" t="s">
        <v>229</v>
      </c>
      <c r="B2" s="2"/>
      <c r="C2" s="2"/>
      <c r="D2" s="2"/>
      <c r="E2" s="2"/>
      <c r="F2" s="2"/>
      <c r="G2" s="2"/>
      <c r="H2" s="2"/>
      <c r="I2" s="2"/>
      <c r="J2" s="2"/>
      <c r="K2" s="2"/>
      <c r="L2" s="2"/>
      <c r="M2" s="2"/>
      <c r="N2" s="2"/>
      <c r="O2" s="2"/>
      <c r="P2" s="2"/>
    </row>
    <row r="4" customFormat="false" ht="15" hidden="false" customHeight="true" outlineLevel="0" collapsed="false">
      <c r="A4" s="52" t="s">
        <v>186</v>
      </c>
      <c r="B4" s="52"/>
      <c r="C4" s="52"/>
      <c r="D4" s="53" t="s">
        <v>67</v>
      </c>
      <c r="E4" s="53"/>
      <c r="F4" s="53"/>
      <c r="G4" s="53"/>
      <c r="H4" s="53"/>
      <c r="I4" s="53"/>
      <c r="J4" s="53"/>
      <c r="K4" s="53"/>
      <c r="L4" s="53"/>
      <c r="M4" s="53"/>
      <c r="N4" s="53"/>
      <c r="O4" s="53"/>
      <c r="P4" s="53"/>
    </row>
    <row r="5" customFormat="false" ht="15" hidden="false" customHeight="true" outlineLevel="0" collapsed="false">
      <c r="A5" s="52" t="s">
        <v>187</v>
      </c>
      <c r="B5" s="52"/>
      <c r="C5" s="52"/>
      <c r="D5" s="53" t="s">
        <v>69</v>
      </c>
      <c r="E5" s="53"/>
      <c r="F5" s="53"/>
      <c r="G5" s="53"/>
      <c r="H5" s="53"/>
      <c r="I5" s="53"/>
      <c r="J5" s="53"/>
      <c r="K5" s="53"/>
      <c r="L5" s="53"/>
      <c r="M5" s="53"/>
      <c r="N5" s="53"/>
      <c r="O5" s="53"/>
      <c r="P5" s="53"/>
    </row>
    <row r="6" customFormat="false" ht="15" hidden="false" customHeight="true" outlineLevel="0" collapsed="false">
      <c r="A6" s="52" t="s">
        <v>189</v>
      </c>
      <c r="B6" s="52"/>
      <c r="C6" s="52"/>
      <c r="D6" s="53" t="s">
        <v>230</v>
      </c>
      <c r="E6" s="53"/>
      <c r="F6" s="53"/>
      <c r="G6" s="53"/>
      <c r="H6" s="53"/>
      <c r="I6" s="53"/>
      <c r="J6" s="53"/>
      <c r="K6" s="53"/>
      <c r="L6" s="53"/>
      <c r="M6" s="53"/>
      <c r="N6" s="53"/>
      <c r="O6" s="53"/>
      <c r="P6" s="53"/>
    </row>
    <row r="7" customFormat="false" ht="15" hidden="false" customHeight="true" outlineLevel="0" collapsed="false">
      <c r="A7" s="52" t="s">
        <v>191</v>
      </c>
      <c r="B7" s="52"/>
      <c r="C7" s="52"/>
      <c r="D7" s="53" t="s">
        <v>221</v>
      </c>
      <c r="E7" s="53"/>
      <c r="F7" s="53"/>
      <c r="G7" s="53"/>
      <c r="H7" s="53"/>
      <c r="I7" s="53"/>
      <c r="J7" s="53"/>
      <c r="K7" s="53"/>
      <c r="L7" s="53"/>
      <c r="M7" s="53"/>
      <c r="N7" s="53"/>
      <c r="O7" s="53"/>
      <c r="P7" s="53"/>
    </row>
    <row r="8" customFormat="false" ht="15" hidden="false" customHeight="true" outlineLevel="0" collapsed="false">
      <c r="A8" s="52" t="s">
        <v>193</v>
      </c>
      <c r="B8" s="52"/>
      <c r="C8" s="52"/>
      <c r="D8" s="53" t="s">
        <v>68</v>
      </c>
      <c r="E8" s="53"/>
      <c r="F8" s="53"/>
      <c r="G8" s="53"/>
      <c r="H8" s="53"/>
      <c r="I8" s="53"/>
      <c r="J8" s="53"/>
      <c r="K8" s="53"/>
      <c r="L8" s="53"/>
      <c r="M8" s="53"/>
      <c r="N8" s="53"/>
      <c r="O8" s="53"/>
      <c r="P8" s="53"/>
    </row>
    <row r="9" customFormat="false" ht="15" hidden="false" customHeight="true" outlineLevel="0" collapsed="false">
      <c r="A9" s="52" t="s">
        <v>194</v>
      </c>
      <c r="B9" s="52"/>
      <c r="C9" s="52"/>
      <c r="D9" s="53" t="s">
        <v>222</v>
      </c>
      <c r="E9" s="53"/>
      <c r="F9" s="53"/>
      <c r="G9" s="53"/>
      <c r="H9" s="53"/>
      <c r="I9" s="53"/>
      <c r="J9" s="53"/>
      <c r="K9" s="53"/>
      <c r="L9" s="53"/>
      <c r="M9" s="53"/>
      <c r="N9" s="53"/>
      <c r="O9" s="53"/>
      <c r="P9" s="53"/>
    </row>
    <row r="11" customFormat="false" ht="30" hidden="false" customHeight="true" outlineLevel="0" collapsed="false">
      <c r="A11" s="18" t="s">
        <v>96</v>
      </c>
      <c r="B11" s="18" t="s">
        <v>97</v>
      </c>
      <c r="C11" s="18" t="s">
        <v>95</v>
      </c>
      <c r="D11" s="18" t="s">
        <v>98</v>
      </c>
      <c r="E11" s="18" t="s">
        <v>99</v>
      </c>
      <c r="F11" s="18" t="s">
        <v>100</v>
      </c>
      <c r="G11" s="18" t="s">
        <v>101</v>
      </c>
      <c r="H11" s="18" t="s">
        <v>102</v>
      </c>
      <c r="I11" s="18" t="s">
        <v>103</v>
      </c>
      <c r="J11" s="18" t="s">
        <v>104</v>
      </c>
      <c r="K11" s="18" t="s">
        <v>105</v>
      </c>
      <c r="L11" s="18" t="s">
        <v>43</v>
      </c>
      <c r="M11" s="18" t="s">
        <v>106</v>
      </c>
      <c r="N11" s="18" t="s">
        <v>44</v>
      </c>
      <c r="O11" s="18" t="s">
        <v>107</v>
      </c>
      <c r="P11" s="18" t="s">
        <v>45</v>
      </c>
    </row>
    <row r="12" customFormat="false" ht="15" hidden="false" customHeight="false" outlineLevel="0" collapsed="false">
      <c r="A12" s="56" t="str">
        <f aca="false">IF('Itens Consolidados'!D30="","",'Itens Consolidados'!D30)</f>
        <v>Inicial</v>
      </c>
      <c r="B12" s="56" t="str">
        <f aca="false">IF('Itens Consolidados'!E30="","",'Itens Consolidados'!E30)</f>
        <v/>
      </c>
      <c r="C12" s="57" t="str">
        <f aca="false">IF('Itens Consolidados'!C30="","",'Itens Consolidados'!C30)</f>
        <v>4 - Centro de eventos</v>
      </c>
      <c r="D12" s="57" t="str">
        <f aca="false">IF('Itens Consolidados'!F30="","",'Itens Consolidados'!F30)</f>
        <v>00.001.001.001</v>
      </c>
      <c r="E12" s="56" t="str">
        <f aca="false">IF('Itens Consolidados'!G30="","",'Itens Consolidados'!G30)</f>
        <v>80409</v>
      </c>
      <c r="F12" s="58" t="str">
        <f aca="false">IF('Itens Consolidados'!H30="","",'Itens Consolidados'!H30)</f>
        <v>Execução de piso fulget.</v>
      </c>
      <c r="G12" s="56" t="str">
        <f aca="false">IF('Itens Consolidados'!I30="","",'Itens Consolidados'!I30)</f>
        <v>m²</v>
      </c>
      <c r="H12" s="59" t="n">
        <f aca="false">'Itens Consolidados'!J30</f>
        <v>1199.04</v>
      </c>
      <c r="I12" s="60" t="n">
        <f aca="false">'Itens Consolidados'!K30</f>
        <v>80</v>
      </c>
      <c r="J12" s="24" t="n">
        <f aca="false">'Itens Consolidados'!L30</f>
        <v>95923.2</v>
      </c>
      <c r="K12" s="60" t="n">
        <f aca="false">'Itens Consolidados'!M30</f>
        <v>108</v>
      </c>
      <c r="L12" s="24" t="n">
        <f aca="false">'Itens Consolidados'!N30</f>
        <v>129496.32</v>
      </c>
      <c r="M12" s="60" t="n">
        <f aca="false">'Itens Consolidados'!O30</f>
        <v>112</v>
      </c>
      <c r="N12" s="24" t="n">
        <f aca="false">'Itens Consolidados'!P30</f>
        <v>134292.48</v>
      </c>
      <c r="O12" s="60" t="n">
        <f aca="false">'Itens Consolidados'!Q30</f>
        <v>110</v>
      </c>
      <c r="P12" s="24" t="n">
        <f aca="false">'Itens Consolidados'!R30</f>
        <v>131894.4</v>
      </c>
    </row>
    <row r="13" customFormat="false" ht="15" hidden="false" customHeight="false" outlineLevel="0" collapsed="false">
      <c r="A13" s="61" t="s">
        <v>203</v>
      </c>
      <c r="B13" s="61"/>
      <c r="C13" s="61"/>
      <c r="D13" s="61"/>
      <c r="E13" s="61"/>
      <c r="F13" s="61"/>
      <c r="G13" s="61"/>
      <c r="H13" s="61"/>
      <c r="I13" s="61"/>
      <c r="J13" s="62" t="n">
        <f aca="false">SUM(J12:J12)</f>
        <v>95923.2</v>
      </c>
      <c r="K13" s="63"/>
      <c r="L13" s="62" t="n">
        <f aca="false">SUM(L12:L12)</f>
        <v>129496.32</v>
      </c>
      <c r="M13" s="63"/>
      <c r="N13" s="62" t="n">
        <f aca="false">SUM(N12:N12)</f>
        <v>134292.48</v>
      </c>
      <c r="O13" s="63"/>
      <c r="P13" s="62" t="n">
        <f aca="false">SUM(P12:P12)</f>
        <v>131894.4</v>
      </c>
    </row>
    <row r="14" customFormat="false" ht="19.5" hidden="false" customHeight="true" outlineLevel="0" collapsed="false">
      <c r="A14" s="25" t="s">
        <v>231</v>
      </c>
      <c r="B14" s="25"/>
      <c r="C14" s="25"/>
      <c r="D14" s="25"/>
      <c r="E14" s="25"/>
      <c r="F14" s="25"/>
      <c r="G14" s="25"/>
      <c r="H14" s="25"/>
      <c r="I14" s="25"/>
      <c r="J14" s="50" t="n">
        <f aca="false">J13</f>
        <v>95923.2</v>
      </c>
      <c r="K14" s="51"/>
      <c r="L14" s="50" t="n">
        <f aca="false">L13</f>
        <v>129496.32</v>
      </c>
      <c r="M14" s="51"/>
      <c r="N14" s="50" t="n">
        <f aca="false">N13</f>
        <v>134292.48</v>
      </c>
      <c r="O14" s="51"/>
      <c r="P14" s="50" t="n">
        <f aca="false">P13</f>
        <v>131894.4</v>
      </c>
    </row>
    <row r="15" customFormat="false" ht="15" hidden="false" customHeight="false" outlineLevel="0" collapsed="false">
      <c r="A15" s="70" t="s">
        <v>208</v>
      </c>
      <c r="B15" s="70"/>
      <c r="C15" s="70"/>
      <c r="D15" s="70"/>
      <c r="E15" s="70"/>
      <c r="F15" s="70"/>
      <c r="G15" s="70"/>
      <c r="H15" s="70"/>
      <c r="I15" s="70"/>
      <c r="P15" s="71" t="n">
        <f aca="false">P14-J14</f>
        <v>35971.2</v>
      </c>
    </row>
  </sheetData>
  <mergeCells count="17">
    <mergeCell ref="A1:P1"/>
    <mergeCell ref="A2:P2"/>
    <mergeCell ref="A4:C4"/>
    <mergeCell ref="D4:P4"/>
    <mergeCell ref="A5:C5"/>
    <mergeCell ref="D5:P5"/>
    <mergeCell ref="A6:C6"/>
    <mergeCell ref="D6:P6"/>
    <mergeCell ref="A7:C7"/>
    <mergeCell ref="D7:P7"/>
    <mergeCell ref="A8:C8"/>
    <mergeCell ref="D8:P8"/>
    <mergeCell ref="A9:C9"/>
    <mergeCell ref="D9:P9"/>
    <mergeCell ref="A13:I13"/>
    <mergeCell ref="A14:I14"/>
    <mergeCell ref="A15:I15"/>
  </mergeCells>
  <printOptions headings="false" gridLines="false" gridLinesSet="true" horizontalCentered="true" verticalCentered="false"/>
  <pageMargins left="0.3" right="0.3" top="0.4" bottom="0.4"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CT-212&amp;R&amp;8 Página &amp;P de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7C7C7"/>
    <pageSetUpPr fitToPage="true"/>
  </sheetPr>
  <dimension ref="A1:P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20"/>
    <col collapsed="false" customWidth="true" hidden="false" outlineLevel="0" max="4" min="4" style="0" width="15"/>
    <col collapsed="false" customWidth="true" hidden="false" outlineLevel="0" max="5" min="5" style="0" width="9"/>
    <col collapsed="false" customWidth="true" hidden="false" outlineLevel="0" max="6" min="6" style="0" width="62"/>
    <col collapsed="false" customWidth="true" hidden="false" outlineLevel="0" max="7" min="7" style="0" width="7"/>
    <col collapsed="false" customWidth="true" hidden="false" outlineLevel="0" max="8" min="8" style="0" width="13"/>
    <col collapsed="false" customWidth="true" hidden="false" outlineLevel="0" max="16" min="9" style="0" width="15"/>
  </cols>
  <sheetData>
    <row r="1" customFormat="false" ht="33.75" hidden="false" customHeight="true" outlineLevel="0" collapsed="false">
      <c r="A1" s="1" t="s">
        <v>232</v>
      </c>
      <c r="B1" s="1"/>
      <c r="C1" s="1"/>
      <c r="D1" s="1"/>
      <c r="E1" s="1"/>
      <c r="F1" s="1"/>
      <c r="G1" s="1"/>
      <c r="H1" s="1"/>
      <c r="I1" s="1"/>
      <c r="J1" s="1"/>
      <c r="K1" s="1"/>
      <c r="L1" s="1"/>
      <c r="M1" s="1"/>
      <c r="N1" s="1"/>
      <c r="O1" s="1"/>
      <c r="P1" s="1"/>
    </row>
    <row r="2" customFormat="false" ht="15.75" hidden="false" customHeight="true" outlineLevel="0" collapsed="false">
      <c r="A2" s="2" t="s">
        <v>233</v>
      </c>
      <c r="B2" s="2"/>
      <c r="C2" s="2"/>
      <c r="D2" s="2"/>
      <c r="E2" s="2"/>
      <c r="F2" s="2"/>
      <c r="G2" s="2"/>
      <c r="H2" s="2"/>
      <c r="I2" s="2"/>
      <c r="J2" s="2"/>
      <c r="K2" s="2"/>
      <c r="L2" s="2"/>
      <c r="M2" s="2"/>
      <c r="N2" s="2"/>
      <c r="O2" s="2"/>
      <c r="P2" s="2"/>
    </row>
    <row r="4" customFormat="false" ht="15" hidden="false" customHeight="true" outlineLevel="0" collapsed="false">
      <c r="A4" s="52" t="s">
        <v>186</v>
      </c>
      <c r="B4" s="52"/>
      <c r="C4" s="52"/>
      <c r="D4" s="53" t="s">
        <v>73</v>
      </c>
      <c r="E4" s="53"/>
      <c r="F4" s="53"/>
      <c r="G4" s="53"/>
      <c r="H4" s="53"/>
      <c r="I4" s="53"/>
      <c r="J4" s="53"/>
      <c r="K4" s="53"/>
      <c r="L4" s="53"/>
      <c r="M4" s="53"/>
      <c r="N4" s="53"/>
      <c r="O4" s="53"/>
      <c r="P4" s="53"/>
    </row>
    <row r="5" customFormat="false" ht="15" hidden="false" customHeight="true" outlineLevel="0" collapsed="false">
      <c r="A5" s="52" t="s">
        <v>187</v>
      </c>
      <c r="B5" s="52"/>
      <c r="C5" s="52"/>
      <c r="D5" s="53" t="s">
        <v>234</v>
      </c>
      <c r="E5" s="53"/>
      <c r="F5" s="53"/>
      <c r="G5" s="53"/>
      <c r="H5" s="53"/>
      <c r="I5" s="53"/>
      <c r="J5" s="53"/>
      <c r="K5" s="53"/>
      <c r="L5" s="53"/>
      <c r="M5" s="53"/>
      <c r="N5" s="53"/>
      <c r="O5" s="53"/>
      <c r="P5" s="53"/>
    </row>
    <row r="6" customFormat="false" ht="15" hidden="false" customHeight="true" outlineLevel="0" collapsed="false">
      <c r="A6" s="52" t="s">
        <v>189</v>
      </c>
      <c r="B6" s="52"/>
      <c r="C6" s="52"/>
      <c r="D6" s="53" t="s">
        <v>235</v>
      </c>
      <c r="E6" s="53"/>
      <c r="F6" s="53"/>
      <c r="G6" s="53"/>
      <c r="H6" s="53"/>
      <c r="I6" s="53"/>
      <c r="J6" s="53"/>
      <c r="K6" s="53"/>
      <c r="L6" s="53"/>
      <c r="M6" s="53"/>
      <c r="N6" s="53"/>
      <c r="O6" s="53"/>
      <c r="P6" s="53"/>
    </row>
    <row r="7" customFormat="false" ht="15" hidden="false" customHeight="true" outlineLevel="0" collapsed="false">
      <c r="A7" s="52" t="s">
        <v>191</v>
      </c>
      <c r="B7" s="52"/>
      <c r="C7" s="52"/>
      <c r="D7" s="53" t="s">
        <v>221</v>
      </c>
      <c r="E7" s="53"/>
      <c r="F7" s="53"/>
      <c r="G7" s="53"/>
      <c r="H7" s="53"/>
      <c r="I7" s="53"/>
      <c r="J7" s="53"/>
      <c r="K7" s="53"/>
      <c r="L7" s="53"/>
      <c r="M7" s="53"/>
      <c r="N7" s="53"/>
      <c r="O7" s="53"/>
      <c r="P7" s="53"/>
    </row>
    <row r="8" customFormat="false" ht="15" hidden="false" customHeight="true" outlineLevel="0" collapsed="false">
      <c r="A8" s="52" t="s">
        <v>193</v>
      </c>
      <c r="B8" s="52"/>
      <c r="C8" s="52"/>
      <c r="D8" s="53" t="s">
        <v>74</v>
      </c>
      <c r="E8" s="53"/>
      <c r="F8" s="53"/>
      <c r="G8" s="53"/>
      <c r="H8" s="53"/>
      <c r="I8" s="53"/>
      <c r="J8" s="53"/>
      <c r="K8" s="53"/>
      <c r="L8" s="53"/>
      <c r="M8" s="53"/>
      <c r="N8" s="53"/>
      <c r="O8" s="53"/>
      <c r="P8" s="53"/>
    </row>
    <row r="9" customFormat="false" ht="15" hidden="false" customHeight="true" outlineLevel="0" collapsed="false">
      <c r="A9" s="52" t="s">
        <v>194</v>
      </c>
      <c r="B9" s="52"/>
      <c r="C9" s="52"/>
      <c r="D9" s="53" t="s">
        <v>222</v>
      </c>
      <c r="E9" s="53"/>
      <c r="F9" s="53"/>
      <c r="G9" s="53"/>
      <c r="H9" s="53"/>
      <c r="I9" s="53"/>
      <c r="J9" s="53"/>
      <c r="K9" s="53"/>
      <c r="L9" s="53"/>
      <c r="M9" s="53"/>
      <c r="N9" s="53"/>
      <c r="O9" s="53"/>
      <c r="P9" s="53"/>
    </row>
    <row r="11" customFormat="false" ht="15" hidden="false" customHeight="false" outlineLevel="0" collapsed="false">
      <c r="A11" s="3" t="s">
        <v>196</v>
      </c>
    </row>
    <row r="12" customFormat="false" ht="24" hidden="false" customHeight="true" outlineLevel="0" collapsed="false">
      <c r="A12" s="54" t="s">
        <v>236</v>
      </c>
      <c r="B12" s="54"/>
      <c r="C12" s="54"/>
      <c r="D12" s="55" t="s">
        <v>237</v>
      </c>
      <c r="E12" s="55"/>
      <c r="F12" s="55"/>
      <c r="G12" s="55"/>
      <c r="H12" s="55"/>
      <c r="I12" s="55"/>
      <c r="J12" s="55"/>
      <c r="K12" s="55"/>
      <c r="L12" s="55"/>
      <c r="M12" s="55"/>
      <c r="N12" s="55"/>
      <c r="O12" s="55"/>
      <c r="P12" s="55"/>
    </row>
    <row r="14" customFormat="false" ht="30" hidden="false" customHeight="true" outlineLevel="0" collapsed="false">
      <c r="A14" s="18" t="s">
        <v>96</v>
      </c>
      <c r="B14" s="18" t="s">
        <v>97</v>
      </c>
      <c r="C14" s="18" t="s">
        <v>95</v>
      </c>
      <c r="D14" s="18" t="s">
        <v>98</v>
      </c>
      <c r="E14" s="18" t="s">
        <v>99</v>
      </c>
      <c r="F14" s="18" t="s">
        <v>100</v>
      </c>
      <c r="G14" s="18" t="s">
        <v>101</v>
      </c>
      <c r="H14" s="18" t="s">
        <v>102</v>
      </c>
      <c r="I14" s="18" t="s">
        <v>103</v>
      </c>
      <c r="J14" s="18" t="s">
        <v>104</v>
      </c>
      <c r="K14" s="18" t="s">
        <v>105</v>
      </c>
      <c r="L14" s="18" t="s">
        <v>43</v>
      </c>
      <c r="M14" s="18" t="s">
        <v>106</v>
      </c>
      <c r="N14" s="18" t="s">
        <v>44</v>
      </c>
      <c r="O14" s="18" t="s">
        <v>107</v>
      </c>
      <c r="P14" s="18" t="s">
        <v>45</v>
      </c>
    </row>
    <row r="15" customFormat="false" ht="23.85" hidden="false" customHeight="false" outlineLevel="0" collapsed="false">
      <c r="A15" s="56" t="str">
        <f aca="false">IF('Itens Consolidados'!D31="","",'Itens Consolidados'!D31)</f>
        <v>Inicial</v>
      </c>
      <c r="B15" s="56" t="str">
        <f aca="false">IF('Itens Consolidados'!E31="","",'Itens Consolidados'!E31)</f>
        <v/>
      </c>
      <c r="C15" s="57" t="str">
        <f aca="false">IF('Itens Consolidados'!C31="","",'Itens Consolidados'!C31)</f>
        <v>4 - Centro de eventos</v>
      </c>
      <c r="D15" s="57" t="str">
        <f aca="false">IF('Itens Consolidados'!F31="","",'Itens Consolidados'!F31)</f>
        <v>00.001.001.001</v>
      </c>
      <c r="E15" s="56" t="str">
        <f aca="false">IF('Itens Consolidados'!G31="","",'Itens Consolidados'!G31)</f>
        <v>80391</v>
      </c>
      <c r="F15" s="58" t="str">
        <f aca="false">IF('Itens Consolidados'!H31="","",'Itens Consolidados'!H31)</f>
        <v>Execução do revestimento em ACM na região do porte-cochère do Centro de Eventos do Hotel Recanto.</v>
      </c>
      <c r="G15" s="56" t="str">
        <f aca="false">IF('Itens Consolidados'!I31="","",'Itens Consolidados'!I31)</f>
        <v>vb</v>
      </c>
      <c r="H15" s="59" t="n">
        <f aca="false">'Itens Consolidados'!J31</f>
        <v>1</v>
      </c>
      <c r="I15" s="60" t="n">
        <f aca="false">'Itens Consolidados'!K31</f>
        <v>60000</v>
      </c>
      <c r="J15" s="24" t="n">
        <f aca="false">'Itens Consolidados'!L31</f>
        <v>60000</v>
      </c>
      <c r="K15" s="60" t="n">
        <f aca="false">'Itens Consolidados'!M31</f>
        <v>81000</v>
      </c>
      <c r="L15" s="24" t="n">
        <f aca="false">'Itens Consolidados'!N31</f>
        <v>81000</v>
      </c>
      <c r="M15" s="60" t="n">
        <f aca="false">'Itens Consolidados'!O31</f>
        <v>84000</v>
      </c>
      <c r="N15" s="24" t="n">
        <f aca="false">'Itens Consolidados'!P31</f>
        <v>84000</v>
      </c>
      <c r="O15" s="60" t="n">
        <f aca="false">'Itens Consolidados'!Q31</f>
        <v>82500</v>
      </c>
      <c r="P15" s="24" t="n">
        <f aca="false">'Itens Consolidados'!R31</f>
        <v>82500</v>
      </c>
    </row>
    <row r="16" customFormat="false" ht="15" hidden="false" customHeight="false" outlineLevel="0" collapsed="false">
      <c r="A16" s="61" t="s">
        <v>203</v>
      </c>
      <c r="B16" s="61"/>
      <c r="C16" s="61"/>
      <c r="D16" s="61"/>
      <c r="E16" s="61"/>
      <c r="F16" s="61"/>
      <c r="G16" s="61"/>
      <c r="H16" s="61"/>
      <c r="I16" s="61"/>
      <c r="J16" s="62" t="n">
        <f aca="false">SUM(J15:J15)</f>
        <v>60000</v>
      </c>
      <c r="K16" s="63"/>
      <c r="L16" s="62" t="n">
        <f aca="false">SUM(L15:L15)</f>
        <v>81000</v>
      </c>
      <c r="M16" s="63"/>
      <c r="N16" s="62" t="n">
        <f aca="false">SUM(N15:N15)</f>
        <v>84000</v>
      </c>
      <c r="O16" s="63"/>
      <c r="P16" s="62" t="n">
        <f aca="false">SUM(P15:P15)</f>
        <v>82500</v>
      </c>
    </row>
    <row r="17" customFormat="false" ht="35.05" hidden="false" customHeight="false" outlineLevel="0" collapsed="false">
      <c r="A17" s="64" t="str">
        <f aca="false">IF('Itens Consolidados'!D32="","",'Itens Consolidados'!D32)</f>
        <v>Aditivo 1</v>
      </c>
      <c r="B17" s="64" t="str">
        <f aca="false">IF('Itens Consolidados'!E32="","",'Itens Consolidados'!E32)</f>
        <v>17/08/2026</v>
      </c>
      <c r="C17" s="65" t="str">
        <f aca="false">IF('Itens Consolidados'!C32="","",'Itens Consolidados'!C32)</f>
        <v>4 - Centro de eventos</v>
      </c>
      <c r="D17" s="65" t="str">
        <f aca="false">IF('Itens Consolidados'!F32="","",'Itens Consolidados'!F32)</f>
        <v>00.001.001.002</v>
      </c>
      <c r="E17" s="64" t="str">
        <f aca="false">IF('Itens Consolidados'!G32="","",'Itens Consolidados'!G32)</f>
        <v>80391</v>
      </c>
      <c r="F17" s="66" t="str">
        <f aca="false">IF('Itens Consolidados'!H32="","",'Itens Consolidados'!H32)</f>
        <v>Execução do painel de 60x90 cm sobre a porta do Centro de Eventos, execução de forro em ACM com dimensões de 50x2,40 m, fechamento da porta com dimensões de 4,80x2,40 m e execução das divisórias dos banheiros.</v>
      </c>
      <c r="G17" s="64" t="str">
        <f aca="false">IF('Itens Consolidados'!I32="","",'Itens Consolidados'!I32)</f>
        <v>vb</v>
      </c>
      <c r="H17" s="67" t="n">
        <f aca="false">'Itens Consolidados'!J32</f>
        <v>1</v>
      </c>
      <c r="I17" s="68" t="n">
        <f aca="false">'Itens Consolidados'!K32</f>
        <v>37671</v>
      </c>
      <c r="J17" s="69" t="n">
        <f aca="false">'Itens Consolidados'!L32</f>
        <v>37671</v>
      </c>
      <c r="K17" s="68" t="n">
        <f aca="false">'Itens Consolidados'!M32</f>
        <v>50855.85</v>
      </c>
      <c r="L17" s="69" t="n">
        <f aca="false">'Itens Consolidados'!N32</f>
        <v>50855.85</v>
      </c>
      <c r="M17" s="68" t="n">
        <f aca="false">'Itens Consolidados'!O32</f>
        <v>52739.4</v>
      </c>
      <c r="N17" s="69" t="n">
        <f aca="false">'Itens Consolidados'!P32</f>
        <v>52739.4</v>
      </c>
      <c r="O17" s="68" t="n">
        <f aca="false">'Itens Consolidados'!Q32</f>
        <v>51797.625</v>
      </c>
      <c r="P17" s="69" t="n">
        <f aca="false">'Itens Consolidados'!R32</f>
        <v>51797.625</v>
      </c>
    </row>
    <row r="18" customFormat="false" ht="15" hidden="false" customHeight="false" outlineLevel="0" collapsed="false">
      <c r="A18" s="61" t="s">
        <v>204</v>
      </c>
      <c r="B18" s="61"/>
      <c r="C18" s="61"/>
      <c r="D18" s="61"/>
      <c r="E18" s="61"/>
      <c r="F18" s="61"/>
      <c r="G18" s="61"/>
      <c r="H18" s="61"/>
      <c r="I18" s="61"/>
      <c r="J18" s="62" t="n">
        <f aca="false">SUM(J17:J17)</f>
        <v>37671</v>
      </c>
      <c r="K18" s="63"/>
      <c r="L18" s="62" t="n">
        <f aca="false">SUM(L17:L17)</f>
        <v>50855.85</v>
      </c>
      <c r="M18" s="63"/>
      <c r="N18" s="62" t="n">
        <f aca="false">SUM(N17:N17)</f>
        <v>52739.4</v>
      </c>
      <c r="O18" s="63"/>
      <c r="P18" s="62" t="n">
        <f aca="false">SUM(P17:P17)</f>
        <v>51797.625</v>
      </c>
    </row>
    <row r="19" customFormat="false" ht="19.5" hidden="false" customHeight="true" outlineLevel="0" collapsed="false">
      <c r="A19" s="25" t="s">
        <v>238</v>
      </c>
      <c r="B19" s="25"/>
      <c r="C19" s="25"/>
      <c r="D19" s="25"/>
      <c r="E19" s="25"/>
      <c r="F19" s="25"/>
      <c r="G19" s="25"/>
      <c r="H19" s="25"/>
      <c r="I19" s="25"/>
      <c r="J19" s="50" t="n">
        <f aca="false">J16+J18</f>
        <v>97671</v>
      </c>
      <c r="K19" s="51"/>
      <c r="L19" s="50" t="n">
        <f aca="false">L16+L18</f>
        <v>131855.85</v>
      </c>
      <c r="M19" s="51"/>
      <c r="N19" s="50" t="n">
        <f aca="false">N16+N18</f>
        <v>136739.4</v>
      </c>
      <c r="O19" s="51"/>
      <c r="P19" s="50" t="n">
        <f aca="false">P16+P18</f>
        <v>134297.625</v>
      </c>
    </row>
    <row r="20" customFormat="false" ht="15" hidden="false" customHeight="false" outlineLevel="0" collapsed="false">
      <c r="A20" s="70" t="s">
        <v>208</v>
      </c>
      <c r="B20" s="70"/>
      <c r="C20" s="70"/>
      <c r="D20" s="70"/>
      <c r="E20" s="70"/>
      <c r="F20" s="70"/>
      <c r="G20" s="70"/>
      <c r="H20" s="70"/>
      <c r="I20" s="70"/>
      <c r="P20" s="71" t="n">
        <f aca="false">P19-J19</f>
        <v>36626.625</v>
      </c>
    </row>
  </sheetData>
  <mergeCells count="20">
    <mergeCell ref="A1:P1"/>
    <mergeCell ref="A2:P2"/>
    <mergeCell ref="A4:C4"/>
    <mergeCell ref="D4:P4"/>
    <mergeCell ref="A5:C5"/>
    <mergeCell ref="D5:P5"/>
    <mergeCell ref="A6:C6"/>
    <mergeCell ref="D6:P6"/>
    <mergeCell ref="A7:C7"/>
    <mergeCell ref="D7:P7"/>
    <mergeCell ref="A8:C8"/>
    <mergeCell ref="D8:P8"/>
    <mergeCell ref="A9:C9"/>
    <mergeCell ref="D9:P9"/>
    <mergeCell ref="A12:C12"/>
    <mergeCell ref="D12:P12"/>
    <mergeCell ref="A16:I16"/>
    <mergeCell ref="A18:I18"/>
    <mergeCell ref="A19:I19"/>
    <mergeCell ref="A20:I20"/>
  </mergeCells>
  <printOptions headings="false" gridLines="false" gridLinesSet="true" horizontalCentered="true" verticalCentered="false"/>
  <pageMargins left="0.3" right="0.3" top="0.4" bottom="0.4"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CT-216&amp;R&amp;8 Página &amp;P de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7C7C7"/>
    <pageSetUpPr fitToPage="true"/>
  </sheetPr>
  <dimension ref="A1:P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20"/>
    <col collapsed="false" customWidth="true" hidden="false" outlineLevel="0" max="4" min="4" style="0" width="15"/>
    <col collapsed="false" customWidth="true" hidden="false" outlineLevel="0" max="5" min="5" style="0" width="9"/>
    <col collapsed="false" customWidth="true" hidden="false" outlineLevel="0" max="6" min="6" style="0" width="62"/>
    <col collapsed="false" customWidth="true" hidden="false" outlineLevel="0" max="7" min="7" style="0" width="7"/>
    <col collapsed="false" customWidth="true" hidden="false" outlineLevel="0" max="8" min="8" style="0" width="13"/>
    <col collapsed="false" customWidth="true" hidden="false" outlineLevel="0" max="16" min="9" style="0" width="15"/>
  </cols>
  <sheetData>
    <row r="1" customFormat="false" ht="33.75" hidden="false" customHeight="true" outlineLevel="0" collapsed="false">
      <c r="A1" s="1" t="s">
        <v>239</v>
      </c>
      <c r="B1" s="1"/>
      <c r="C1" s="1"/>
      <c r="D1" s="1"/>
      <c r="E1" s="1"/>
      <c r="F1" s="1"/>
      <c r="G1" s="1"/>
      <c r="H1" s="1"/>
      <c r="I1" s="1"/>
      <c r="J1" s="1"/>
      <c r="K1" s="1"/>
      <c r="L1" s="1"/>
      <c r="M1" s="1"/>
      <c r="N1" s="1"/>
      <c r="O1" s="1"/>
      <c r="P1" s="1"/>
    </row>
    <row r="2" customFormat="false" ht="15.75" hidden="false" customHeight="true" outlineLevel="0" collapsed="false">
      <c r="A2" s="2" t="s">
        <v>240</v>
      </c>
      <c r="B2" s="2"/>
      <c r="C2" s="2"/>
      <c r="D2" s="2"/>
      <c r="E2" s="2"/>
      <c r="F2" s="2"/>
      <c r="G2" s="2"/>
      <c r="H2" s="2"/>
      <c r="I2" s="2"/>
      <c r="J2" s="2"/>
      <c r="K2" s="2"/>
      <c r="L2" s="2"/>
      <c r="M2" s="2"/>
      <c r="N2" s="2"/>
      <c r="O2" s="2"/>
      <c r="P2" s="2"/>
    </row>
    <row r="4" customFormat="false" ht="15" hidden="false" customHeight="true" outlineLevel="0" collapsed="false">
      <c r="A4" s="52" t="s">
        <v>186</v>
      </c>
      <c r="B4" s="52"/>
      <c r="C4" s="52"/>
      <c r="D4" s="53" t="s">
        <v>79</v>
      </c>
      <c r="E4" s="53"/>
      <c r="F4" s="53"/>
      <c r="G4" s="53"/>
      <c r="H4" s="53"/>
      <c r="I4" s="53"/>
      <c r="J4" s="53"/>
      <c r="K4" s="53"/>
      <c r="L4" s="53"/>
      <c r="M4" s="53"/>
      <c r="N4" s="53"/>
      <c r="O4" s="53"/>
      <c r="P4" s="53"/>
    </row>
    <row r="5" customFormat="false" ht="15" hidden="false" customHeight="true" outlineLevel="0" collapsed="false">
      <c r="A5" s="52" t="s">
        <v>187</v>
      </c>
      <c r="B5" s="52"/>
      <c r="C5" s="52"/>
      <c r="D5" s="53" t="s">
        <v>241</v>
      </c>
      <c r="E5" s="53"/>
      <c r="F5" s="53"/>
      <c r="G5" s="53"/>
      <c r="H5" s="53"/>
      <c r="I5" s="53"/>
      <c r="J5" s="53"/>
      <c r="K5" s="53"/>
      <c r="L5" s="53"/>
      <c r="M5" s="53"/>
      <c r="N5" s="53"/>
      <c r="O5" s="53"/>
      <c r="P5" s="53"/>
    </row>
    <row r="6" customFormat="false" ht="15" hidden="false" customHeight="true" outlineLevel="0" collapsed="false">
      <c r="A6" s="52" t="s">
        <v>189</v>
      </c>
      <c r="B6" s="52"/>
      <c r="C6" s="52"/>
      <c r="D6" s="53" t="s">
        <v>242</v>
      </c>
      <c r="E6" s="53"/>
      <c r="F6" s="53"/>
      <c r="G6" s="53"/>
      <c r="H6" s="53"/>
      <c r="I6" s="53"/>
      <c r="J6" s="53"/>
      <c r="K6" s="53"/>
      <c r="L6" s="53"/>
      <c r="M6" s="53"/>
      <c r="N6" s="53"/>
      <c r="O6" s="53"/>
      <c r="P6" s="53"/>
    </row>
    <row r="7" customFormat="false" ht="15" hidden="false" customHeight="true" outlineLevel="0" collapsed="false">
      <c r="A7" s="52" t="s">
        <v>191</v>
      </c>
      <c r="B7" s="52"/>
      <c r="C7" s="52"/>
      <c r="D7" s="53" t="s">
        <v>221</v>
      </c>
      <c r="E7" s="53"/>
      <c r="F7" s="53"/>
      <c r="G7" s="53"/>
      <c r="H7" s="53"/>
      <c r="I7" s="53"/>
      <c r="J7" s="53"/>
      <c r="K7" s="53"/>
      <c r="L7" s="53"/>
      <c r="M7" s="53"/>
      <c r="N7" s="53"/>
      <c r="O7" s="53"/>
      <c r="P7" s="53"/>
    </row>
    <row r="8" customFormat="false" ht="15" hidden="false" customHeight="true" outlineLevel="0" collapsed="false">
      <c r="A8" s="52" t="s">
        <v>193</v>
      </c>
      <c r="B8" s="52"/>
      <c r="C8" s="52"/>
      <c r="D8" s="53" t="s">
        <v>80</v>
      </c>
      <c r="E8" s="53"/>
      <c r="F8" s="53"/>
      <c r="G8" s="53"/>
      <c r="H8" s="53"/>
      <c r="I8" s="53"/>
      <c r="J8" s="53"/>
      <c r="K8" s="53"/>
      <c r="L8" s="53"/>
      <c r="M8" s="53"/>
      <c r="N8" s="53"/>
      <c r="O8" s="53"/>
      <c r="P8" s="53"/>
    </row>
    <row r="9" customFormat="false" ht="15" hidden="false" customHeight="true" outlineLevel="0" collapsed="false">
      <c r="A9" s="52" t="s">
        <v>194</v>
      </c>
      <c r="B9" s="52"/>
      <c r="C9" s="52"/>
      <c r="D9" s="53" t="s">
        <v>222</v>
      </c>
      <c r="E9" s="53"/>
      <c r="F9" s="53"/>
      <c r="G9" s="53"/>
      <c r="H9" s="53"/>
      <c r="I9" s="53"/>
      <c r="J9" s="53"/>
      <c r="K9" s="53"/>
      <c r="L9" s="53"/>
      <c r="M9" s="53"/>
      <c r="N9" s="53"/>
      <c r="O9" s="53"/>
      <c r="P9" s="53"/>
    </row>
    <row r="11" customFormat="false" ht="15" hidden="false" customHeight="false" outlineLevel="0" collapsed="false">
      <c r="A11" s="3" t="s">
        <v>196</v>
      </c>
    </row>
    <row r="12" customFormat="false" ht="13.5" hidden="false" customHeight="true" outlineLevel="0" collapsed="false">
      <c r="A12" s="54" t="s">
        <v>243</v>
      </c>
      <c r="B12" s="54"/>
      <c r="C12" s="54"/>
      <c r="D12" s="55" t="s">
        <v>244</v>
      </c>
      <c r="E12" s="55"/>
      <c r="F12" s="55"/>
      <c r="G12" s="55"/>
      <c r="H12" s="55"/>
      <c r="I12" s="55"/>
      <c r="J12" s="55"/>
      <c r="K12" s="55"/>
      <c r="L12" s="55"/>
      <c r="M12" s="55"/>
      <c r="N12" s="55"/>
      <c r="O12" s="55"/>
      <c r="P12" s="55"/>
    </row>
    <row r="14" customFormat="false" ht="30" hidden="false" customHeight="true" outlineLevel="0" collapsed="false">
      <c r="A14" s="18" t="s">
        <v>96</v>
      </c>
      <c r="B14" s="18" t="s">
        <v>97</v>
      </c>
      <c r="C14" s="18" t="s">
        <v>95</v>
      </c>
      <c r="D14" s="18" t="s">
        <v>98</v>
      </c>
      <c r="E14" s="18" t="s">
        <v>99</v>
      </c>
      <c r="F14" s="18" t="s">
        <v>100</v>
      </c>
      <c r="G14" s="18" t="s">
        <v>101</v>
      </c>
      <c r="H14" s="18" t="s">
        <v>102</v>
      </c>
      <c r="I14" s="18" t="s">
        <v>103</v>
      </c>
      <c r="J14" s="18" t="s">
        <v>104</v>
      </c>
      <c r="K14" s="18" t="s">
        <v>105</v>
      </c>
      <c r="L14" s="18" t="s">
        <v>43</v>
      </c>
      <c r="M14" s="18" t="s">
        <v>106</v>
      </c>
      <c r="N14" s="18" t="s">
        <v>44</v>
      </c>
      <c r="O14" s="18" t="s">
        <v>107</v>
      </c>
      <c r="P14" s="18" t="s">
        <v>45</v>
      </c>
    </row>
    <row r="15" customFormat="false" ht="35.05" hidden="false" customHeight="false" outlineLevel="0" collapsed="false">
      <c r="A15" s="56" t="str">
        <f aca="false">IF('Itens Consolidados'!D33="","",'Itens Consolidados'!D33)</f>
        <v>Inicial</v>
      </c>
      <c r="B15" s="56" t="str">
        <f aca="false">IF('Itens Consolidados'!E33="","",'Itens Consolidados'!E33)</f>
        <v/>
      </c>
      <c r="C15" s="57" t="str">
        <f aca="false">IF('Itens Consolidados'!C33="","",'Itens Consolidados'!C33)</f>
        <v>5 - Foyer e restaurante</v>
      </c>
      <c r="D15" s="57" t="str">
        <f aca="false">IF('Itens Consolidados'!F33="","",'Itens Consolidados'!F33)</f>
        <v>00.001.001.001</v>
      </c>
      <c r="E15" s="56" t="str">
        <f aca="false">IF('Itens Consolidados'!G33="","",'Itens Consolidados'!G33)</f>
        <v>80309</v>
      </c>
      <c r="F15" s="58" t="str">
        <f aca="false">IF('Itens Consolidados'!H33="","",'Itens Consolidados'!H33)</f>
        <v>Execução de parede em gesso acartonado (drywall), compreendendo o fornecimento e montagem da estrutura metálica de perfilação, instalação de isolamento em lã acústica e fixação das placas de gesso acartonado.</v>
      </c>
      <c r="G15" s="56" t="str">
        <f aca="false">IF('Itens Consolidados'!I33="","",'Itens Consolidados'!I33)</f>
        <v>m²</v>
      </c>
      <c r="H15" s="59" t="n">
        <f aca="false">'Itens Consolidados'!J33</f>
        <v>62.83</v>
      </c>
      <c r="I15" s="60" t="n">
        <f aca="false">'Itens Consolidados'!K33</f>
        <v>55</v>
      </c>
      <c r="J15" s="24" t="n">
        <f aca="false">'Itens Consolidados'!L33</f>
        <v>3455.65</v>
      </c>
      <c r="K15" s="60" t="n">
        <f aca="false">'Itens Consolidados'!M33</f>
        <v>74.25</v>
      </c>
      <c r="L15" s="24" t="n">
        <f aca="false">'Itens Consolidados'!N33</f>
        <v>4665.1275</v>
      </c>
      <c r="M15" s="60" t="n">
        <f aca="false">'Itens Consolidados'!O33</f>
        <v>77</v>
      </c>
      <c r="N15" s="24" t="n">
        <f aca="false">'Itens Consolidados'!P33</f>
        <v>4837.91</v>
      </c>
      <c r="O15" s="60" t="n">
        <f aca="false">'Itens Consolidados'!Q33</f>
        <v>75.625</v>
      </c>
      <c r="P15" s="24" t="n">
        <f aca="false">'Itens Consolidados'!R33</f>
        <v>4751.51875</v>
      </c>
    </row>
    <row r="16" customFormat="false" ht="15" hidden="false" customHeight="false" outlineLevel="0" collapsed="false">
      <c r="A16" s="56" t="str">
        <f aca="false">IF('Itens Consolidados'!D34="","",'Itens Consolidados'!D34)</f>
        <v>Inicial</v>
      </c>
      <c r="B16" s="56" t="str">
        <f aca="false">IF('Itens Consolidados'!E34="","",'Itens Consolidados'!E34)</f>
        <v/>
      </c>
      <c r="C16" s="57" t="str">
        <f aca="false">IF('Itens Consolidados'!C34="","",'Itens Consolidados'!C34)</f>
        <v>5 - Foyer e restaurante</v>
      </c>
      <c r="D16" s="57" t="str">
        <f aca="false">IF('Itens Consolidados'!F34="","",'Itens Consolidados'!F34)</f>
        <v>00.002.001.001</v>
      </c>
      <c r="E16" s="56" t="str">
        <f aca="false">IF('Itens Consolidados'!G34="","",'Itens Consolidados'!G34)</f>
        <v>80319</v>
      </c>
      <c r="F16" s="58" t="str">
        <f aca="false">IF('Itens Consolidados'!H34="","",'Itens Consolidados'!H34)</f>
        <v>Execução de sanca em gesso acartonado.</v>
      </c>
      <c r="G16" s="56" t="str">
        <f aca="false">IF('Itens Consolidados'!I34="","",'Itens Consolidados'!I34)</f>
        <v>m²</v>
      </c>
      <c r="H16" s="59" t="n">
        <f aca="false">'Itens Consolidados'!J34</f>
        <v>220</v>
      </c>
      <c r="I16" s="60" t="n">
        <f aca="false">'Itens Consolidados'!K34</f>
        <v>60</v>
      </c>
      <c r="J16" s="24" t="n">
        <f aca="false">'Itens Consolidados'!L34</f>
        <v>13200</v>
      </c>
      <c r="K16" s="60" t="n">
        <f aca="false">'Itens Consolidados'!M34</f>
        <v>81</v>
      </c>
      <c r="L16" s="24" t="n">
        <f aca="false">'Itens Consolidados'!N34</f>
        <v>17820</v>
      </c>
      <c r="M16" s="60" t="n">
        <f aca="false">'Itens Consolidados'!O34</f>
        <v>84</v>
      </c>
      <c r="N16" s="24" t="n">
        <f aca="false">'Itens Consolidados'!P34</f>
        <v>18480</v>
      </c>
      <c r="O16" s="60" t="n">
        <f aca="false">'Itens Consolidados'!Q34</f>
        <v>82.5</v>
      </c>
      <c r="P16" s="24" t="n">
        <f aca="false">'Itens Consolidados'!R34</f>
        <v>18150</v>
      </c>
    </row>
    <row r="17" customFormat="false" ht="15" hidden="false" customHeight="false" outlineLevel="0" collapsed="false">
      <c r="A17" s="56" t="str">
        <f aca="false">IF('Itens Consolidados'!D35="","",'Itens Consolidados'!D35)</f>
        <v>Inicial</v>
      </c>
      <c r="B17" s="56" t="str">
        <f aca="false">IF('Itens Consolidados'!E35="","",'Itens Consolidados'!E35)</f>
        <v/>
      </c>
      <c r="C17" s="57" t="str">
        <f aca="false">IF('Itens Consolidados'!C35="","",'Itens Consolidados'!C35)</f>
        <v>5 - Foyer e restaurante</v>
      </c>
      <c r="D17" s="57" t="str">
        <f aca="false">IF('Itens Consolidados'!F35="","",'Itens Consolidados'!F35)</f>
        <v>00.002.001.002</v>
      </c>
      <c r="E17" s="56" t="str">
        <f aca="false">IF('Itens Consolidados'!G35="","",'Itens Consolidados'!G35)</f>
        <v>80319</v>
      </c>
      <c r="F17" s="58" t="str">
        <f aca="false">IF('Itens Consolidados'!H35="","",'Itens Consolidados'!H35)</f>
        <v>Desmanche de forro em gesso acartonado na região do Foyer.</v>
      </c>
      <c r="G17" s="56" t="str">
        <f aca="false">IF('Itens Consolidados'!I35="","",'Itens Consolidados'!I35)</f>
        <v>m²</v>
      </c>
      <c r="H17" s="59" t="n">
        <f aca="false">'Itens Consolidados'!J35</f>
        <v>30</v>
      </c>
      <c r="I17" s="60" t="n">
        <f aca="false">'Itens Consolidados'!K35</f>
        <v>20</v>
      </c>
      <c r="J17" s="24" t="n">
        <f aca="false">'Itens Consolidados'!L35</f>
        <v>600</v>
      </c>
      <c r="K17" s="60" t="n">
        <f aca="false">'Itens Consolidados'!M35</f>
        <v>27</v>
      </c>
      <c r="L17" s="24" t="n">
        <f aca="false">'Itens Consolidados'!N35</f>
        <v>810</v>
      </c>
      <c r="M17" s="60" t="n">
        <f aca="false">'Itens Consolidados'!O35</f>
        <v>28</v>
      </c>
      <c r="N17" s="24" t="n">
        <f aca="false">'Itens Consolidados'!P35</f>
        <v>840</v>
      </c>
      <c r="O17" s="60" t="n">
        <f aca="false">'Itens Consolidados'!Q35</f>
        <v>27.5</v>
      </c>
      <c r="P17" s="24" t="n">
        <f aca="false">'Itens Consolidados'!R35</f>
        <v>825</v>
      </c>
    </row>
    <row r="18" customFormat="false" ht="15" hidden="false" customHeight="false" outlineLevel="0" collapsed="false">
      <c r="A18" s="56" t="str">
        <f aca="false">IF('Itens Consolidados'!D36="","",'Itens Consolidados'!D36)</f>
        <v>Inicial</v>
      </c>
      <c r="B18" s="56" t="str">
        <f aca="false">IF('Itens Consolidados'!E36="","",'Itens Consolidados'!E36)</f>
        <v/>
      </c>
      <c r="C18" s="57" t="str">
        <f aca="false">IF('Itens Consolidados'!C36="","",'Itens Consolidados'!C36)</f>
        <v>5 - Foyer e restaurante</v>
      </c>
      <c r="D18" s="57" t="str">
        <f aca="false">IF('Itens Consolidados'!F36="","",'Itens Consolidados'!F36)</f>
        <v>00.002.001.003</v>
      </c>
      <c r="E18" s="56" t="str">
        <f aca="false">IF('Itens Consolidados'!G36="","",'Itens Consolidados'!G36)</f>
        <v>80319</v>
      </c>
      <c r="F18" s="58" t="str">
        <f aca="false">IF('Itens Consolidados'!H36="","",'Itens Consolidados'!H36)</f>
        <v>Execução de forro em gesso acartonado, incluindo execução de sanca.</v>
      </c>
      <c r="G18" s="56" t="str">
        <f aca="false">IF('Itens Consolidados'!I36="","",'Itens Consolidados'!I36)</f>
        <v>m²</v>
      </c>
      <c r="H18" s="59" t="n">
        <f aca="false">'Itens Consolidados'!J36</f>
        <v>115</v>
      </c>
      <c r="I18" s="60" t="n">
        <f aca="false">'Itens Consolidados'!K36</f>
        <v>50</v>
      </c>
      <c r="J18" s="24" t="n">
        <f aca="false">'Itens Consolidados'!L36</f>
        <v>5750</v>
      </c>
      <c r="K18" s="60" t="n">
        <f aca="false">'Itens Consolidados'!M36</f>
        <v>67.5</v>
      </c>
      <c r="L18" s="24" t="n">
        <f aca="false">'Itens Consolidados'!N36</f>
        <v>7762.5</v>
      </c>
      <c r="M18" s="60" t="n">
        <f aca="false">'Itens Consolidados'!O36</f>
        <v>70</v>
      </c>
      <c r="N18" s="24" t="n">
        <f aca="false">'Itens Consolidados'!P36</f>
        <v>8050</v>
      </c>
      <c r="O18" s="60" t="n">
        <f aca="false">'Itens Consolidados'!Q36</f>
        <v>68.75</v>
      </c>
      <c r="P18" s="24" t="n">
        <f aca="false">'Itens Consolidados'!R36</f>
        <v>7906.25</v>
      </c>
    </row>
    <row r="19" customFormat="false" ht="15" hidden="false" customHeight="false" outlineLevel="0" collapsed="false">
      <c r="A19" s="56" t="str">
        <f aca="false">IF('Itens Consolidados'!D37="","",'Itens Consolidados'!D37)</f>
        <v>Inicial</v>
      </c>
      <c r="B19" s="56" t="str">
        <f aca="false">IF('Itens Consolidados'!E37="","",'Itens Consolidados'!E37)</f>
        <v/>
      </c>
      <c r="C19" s="57" t="str">
        <f aca="false">IF('Itens Consolidados'!C37="","",'Itens Consolidados'!C37)</f>
        <v>5 - Foyer e restaurante</v>
      </c>
      <c r="D19" s="57" t="str">
        <f aca="false">IF('Itens Consolidados'!F37="","",'Itens Consolidados'!F37)</f>
        <v>00.002.001.004</v>
      </c>
      <c r="E19" s="56" t="str">
        <f aca="false">IF('Itens Consolidados'!G37="","",'Itens Consolidados'!G37)</f>
        <v>80287</v>
      </c>
      <c r="F19" s="58" t="str">
        <f aca="false">IF('Itens Consolidados'!H37="","",'Itens Consolidados'!H37)</f>
        <v>Execução de fechamento do portal do elevador.</v>
      </c>
      <c r="G19" s="56" t="str">
        <f aca="false">IF('Itens Consolidados'!I37="","",'Itens Consolidados'!I37)</f>
        <v>unid</v>
      </c>
      <c r="H19" s="59" t="n">
        <f aca="false">'Itens Consolidados'!J37</f>
        <v>2</v>
      </c>
      <c r="I19" s="60" t="n">
        <f aca="false">'Itens Consolidados'!K37</f>
        <v>300</v>
      </c>
      <c r="J19" s="24" t="n">
        <f aca="false">'Itens Consolidados'!L37</f>
        <v>600</v>
      </c>
      <c r="K19" s="60" t="n">
        <f aca="false">'Itens Consolidados'!M37</f>
        <v>405</v>
      </c>
      <c r="L19" s="24" t="n">
        <f aca="false">'Itens Consolidados'!N37</f>
        <v>810</v>
      </c>
      <c r="M19" s="60" t="n">
        <f aca="false">'Itens Consolidados'!O37</f>
        <v>420</v>
      </c>
      <c r="N19" s="24" t="n">
        <f aca="false">'Itens Consolidados'!P37</f>
        <v>840</v>
      </c>
      <c r="O19" s="60" t="n">
        <f aca="false">'Itens Consolidados'!Q37</f>
        <v>412.5</v>
      </c>
      <c r="P19" s="24" t="n">
        <f aca="false">'Itens Consolidados'!R37</f>
        <v>825</v>
      </c>
    </row>
    <row r="20" customFormat="false" ht="15" hidden="false" customHeight="false" outlineLevel="0" collapsed="false">
      <c r="A20" s="61" t="s">
        <v>203</v>
      </c>
      <c r="B20" s="61"/>
      <c r="C20" s="61"/>
      <c r="D20" s="61"/>
      <c r="E20" s="61"/>
      <c r="F20" s="61"/>
      <c r="G20" s="61"/>
      <c r="H20" s="61"/>
      <c r="I20" s="61"/>
      <c r="J20" s="62" t="n">
        <f aca="false">SUM(J15:J19)</f>
        <v>23605.65</v>
      </c>
      <c r="K20" s="63"/>
      <c r="L20" s="62" t="n">
        <f aca="false">SUM(L15:L19)</f>
        <v>31867.6275</v>
      </c>
      <c r="M20" s="63"/>
      <c r="N20" s="62" t="n">
        <f aca="false">SUM(N15:N19)</f>
        <v>33047.91</v>
      </c>
      <c r="O20" s="63"/>
      <c r="P20" s="62" t="n">
        <f aca="false">SUM(P15:P19)</f>
        <v>32457.76875</v>
      </c>
    </row>
    <row r="21" customFormat="false" ht="35.05" hidden="false" customHeight="false" outlineLevel="0" collapsed="false">
      <c r="A21" s="64" t="str">
        <f aca="false">IF('Itens Consolidados'!D38="","",'Itens Consolidados'!D38)</f>
        <v>Aditivo 1</v>
      </c>
      <c r="B21" s="64" t="str">
        <f aca="false">IF('Itens Consolidados'!E38="","",'Itens Consolidados'!E38)</f>
        <v>19/08/2026</v>
      </c>
      <c r="C21" s="65" t="str">
        <f aca="false">IF('Itens Consolidados'!C38="","",'Itens Consolidados'!C38)</f>
        <v>5 - Foyer e restaurante</v>
      </c>
      <c r="D21" s="65" t="str">
        <f aca="false">IF('Itens Consolidados'!F38="","",'Itens Consolidados'!F38)</f>
        <v>00.001.001.001</v>
      </c>
      <c r="E21" s="64" t="str">
        <f aca="false">IF('Itens Consolidados'!G38="","",'Itens Consolidados'!G38)</f>
        <v>80309</v>
      </c>
      <c r="F21" s="66" t="str">
        <f aca="false">IF('Itens Consolidados'!H38="","",'Itens Consolidados'!H38)</f>
        <v>Execução de parede em gesso acartonado (drywall), compreendendo o fornecimento e montagem da estrutura metálica de perfilação, instalação de isolamento em lã acústica e fixação das placas de gesso acartonado.</v>
      </c>
      <c r="G21" s="64" t="str">
        <f aca="false">IF('Itens Consolidados'!I38="","",'Itens Consolidados'!I38)</f>
        <v>m²</v>
      </c>
      <c r="H21" s="67" t="n">
        <f aca="false">'Itens Consolidados'!J38</f>
        <v>13</v>
      </c>
      <c r="I21" s="68" t="n">
        <f aca="false">'Itens Consolidados'!K38</f>
        <v>55</v>
      </c>
      <c r="J21" s="69" t="n">
        <f aca="false">'Itens Consolidados'!L38</f>
        <v>715</v>
      </c>
      <c r="K21" s="68" t="n">
        <f aca="false">'Itens Consolidados'!M38</f>
        <v>74.25</v>
      </c>
      <c r="L21" s="69" t="n">
        <f aca="false">'Itens Consolidados'!N38</f>
        <v>965.25</v>
      </c>
      <c r="M21" s="68" t="n">
        <f aca="false">'Itens Consolidados'!O38</f>
        <v>77</v>
      </c>
      <c r="N21" s="69" t="n">
        <f aca="false">'Itens Consolidados'!P38</f>
        <v>1001</v>
      </c>
      <c r="O21" s="68" t="n">
        <f aca="false">'Itens Consolidados'!Q38</f>
        <v>75.625</v>
      </c>
      <c r="P21" s="69" t="n">
        <f aca="false">'Itens Consolidados'!R38</f>
        <v>983.125</v>
      </c>
    </row>
    <row r="22" customFormat="false" ht="15" hidden="false" customHeight="false" outlineLevel="0" collapsed="false">
      <c r="A22" s="64" t="str">
        <f aca="false">IF('Itens Consolidados'!D39="","",'Itens Consolidados'!D39)</f>
        <v>Aditivo 1</v>
      </c>
      <c r="B22" s="64" t="str">
        <f aca="false">IF('Itens Consolidados'!E39="","",'Itens Consolidados'!E39)</f>
        <v>19/08/2026</v>
      </c>
      <c r="C22" s="65" t="str">
        <f aca="false">IF('Itens Consolidados'!C39="","",'Itens Consolidados'!C39)</f>
        <v>5 - Foyer e restaurante</v>
      </c>
      <c r="D22" s="65" t="str">
        <f aca="false">IF('Itens Consolidados'!F39="","",'Itens Consolidados'!F39)</f>
        <v>00.002.001.003</v>
      </c>
      <c r="E22" s="64" t="str">
        <f aca="false">IF('Itens Consolidados'!G39="","",'Itens Consolidados'!G39)</f>
        <v>80319</v>
      </c>
      <c r="F22" s="66" t="str">
        <f aca="false">IF('Itens Consolidados'!H39="","",'Itens Consolidados'!H39)</f>
        <v>Execução de forro em gesso acartonado, incluindo execução de sanca.</v>
      </c>
      <c r="G22" s="64" t="str">
        <f aca="false">IF('Itens Consolidados'!I39="","",'Itens Consolidados'!I39)</f>
        <v>m²</v>
      </c>
      <c r="H22" s="67" t="n">
        <f aca="false">'Itens Consolidados'!J39</f>
        <v>10</v>
      </c>
      <c r="I22" s="68" t="n">
        <f aca="false">'Itens Consolidados'!K39</f>
        <v>50</v>
      </c>
      <c r="J22" s="69" t="n">
        <f aca="false">'Itens Consolidados'!L39</f>
        <v>500</v>
      </c>
      <c r="K22" s="68" t="n">
        <f aca="false">'Itens Consolidados'!M39</f>
        <v>67.5</v>
      </c>
      <c r="L22" s="69" t="n">
        <f aca="false">'Itens Consolidados'!N39</f>
        <v>675</v>
      </c>
      <c r="M22" s="68" t="n">
        <f aca="false">'Itens Consolidados'!O39</f>
        <v>70</v>
      </c>
      <c r="N22" s="69" t="n">
        <f aca="false">'Itens Consolidados'!P39</f>
        <v>700</v>
      </c>
      <c r="O22" s="68" t="n">
        <f aca="false">'Itens Consolidados'!Q39</f>
        <v>68.75</v>
      </c>
      <c r="P22" s="69" t="n">
        <f aca="false">'Itens Consolidados'!R39</f>
        <v>687.5</v>
      </c>
    </row>
    <row r="23" customFormat="false" ht="15" hidden="false" customHeight="false" outlineLevel="0" collapsed="false">
      <c r="A23" s="64" t="str">
        <f aca="false">IF('Itens Consolidados'!D40="","",'Itens Consolidados'!D40)</f>
        <v>Aditivo 1</v>
      </c>
      <c r="B23" s="64" t="str">
        <f aca="false">IF('Itens Consolidados'!E40="","",'Itens Consolidados'!E40)</f>
        <v>19/08/2026</v>
      </c>
      <c r="C23" s="65" t="str">
        <f aca="false">IF('Itens Consolidados'!C40="","",'Itens Consolidados'!C40)</f>
        <v>5 - Foyer e restaurante</v>
      </c>
      <c r="D23" s="65" t="str">
        <f aca="false">IF('Itens Consolidados'!F40="","",'Itens Consolidados'!F40)</f>
        <v>00.002.001.005</v>
      </c>
      <c r="E23" s="64" t="str">
        <f aca="false">IF('Itens Consolidados'!G40="","",'Itens Consolidados'!G40)</f>
        <v>80274</v>
      </c>
      <c r="F23" s="66" t="str">
        <f aca="false">IF('Itens Consolidados'!H40="","",'Itens Consolidados'!H40)</f>
        <v>Fechamento em glassrock, parede externa do Foyer da Torre.</v>
      </c>
      <c r="G23" s="64" t="str">
        <f aca="false">IF('Itens Consolidados'!I40="","",'Itens Consolidados'!I40)</f>
        <v>vb</v>
      </c>
      <c r="H23" s="67" t="n">
        <f aca="false">'Itens Consolidados'!J40</f>
        <v>1</v>
      </c>
      <c r="I23" s="68" t="n">
        <f aca="false">'Itens Consolidados'!K40</f>
        <v>700</v>
      </c>
      <c r="J23" s="69" t="n">
        <f aca="false">'Itens Consolidados'!L40</f>
        <v>700</v>
      </c>
      <c r="K23" s="68" t="n">
        <f aca="false">'Itens Consolidados'!M40</f>
        <v>945</v>
      </c>
      <c r="L23" s="69" t="n">
        <f aca="false">'Itens Consolidados'!N40</f>
        <v>945</v>
      </c>
      <c r="M23" s="68" t="n">
        <f aca="false">'Itens Consolidados'!O40</f>
        <v>980</v>
      </c>
      <c r="N23" s="69" t="n">
        <f aca="false">'Itens Consolidados'!P40</f>
        <v>980</v>
      </c>
      <c r="O23" s="68" t="n">
        <f aca="false">'Itens Consolidados'!Q40</f>
        <v>962.5</v>
      </c>
      <c r="P23" s="69" t="n">
        <f aca="false">'Itens Consolidados'!R40</f>
        <v>962.5</v>
      </c>
    </row>
    <row r="24" customFormat="false" ht="15" hidden="false" customHeight="false" outlineLevel="0" collapsed="false">
      <c r="A24" s="61" t="s">
        <v>204</v>
      </c>
      <c r="B24" s="61"/>
      <c r="C24" s="61"/>
      <c r="D24" s="61"/>
      <c r="E24" s="61"/>
      <c r="F24" s="61"/>
      <c r="G24" s="61"/>
      <c r="H24" s="61"/>
      <c r="I24" s="61"/>
      <c r="J24" s="62" t="n">
        <f aca="false">SUM(J21:J23)</f>
        <v>1915</v>
      </c>
      <c r="K24" s="63"/>
      <c r="L24" s="62" t="n">
        <f aca="false">SUM(L21:L23)</f>
        <v>2585.25</v>
      </c>
      <c r="M24" s="63"/>
      <c r="N24" s="62" t="n">
        <f aca="false">SUM(N21:N23)</f>
        <v>2681</v>
      </c>
      <c r="O24" s="63"/>
      <c r="P24" s="62" t="n">
        <f aca="false">SUM(P21:P23)</f>
        <v>2633.125</v>
      </c>
    </row>
    <row r="25" customFormat="false" ht="19.5" hidden="false" customHeight="true" outlineLevel="0" collapsed="false">
      <c r="A25" s="25" t="s">
        <v>245</v>
      </c>
      <c r="B25" s="25"/>
      <c r="C25" s="25"/>
      <c r="D25" s="25"/>
      <c r="E25" s="25"/>
      <c r="F25" s="25"/>
      <c r="G25" s="25"/>
      <c r="H25" s="25"/>
      <c r="I25" s="25"/>
      <c r="J25" s="50" t="n">
        <f aca="false">J20+J24</f>
        <v>25520.65</v>
      </c>
      <c r="K25" s="51"/>
      <c r="L25" s="50" t="n">
        <f aca="false">L20+L24</f>
        <v>34452.8775</v>
      </c>
      <c r="M25" s="51"/>
      <c r="N25" s="50" t="n">
        <f aca="false">N20+N24</f>
        <v>35728.91</v>
      </c>
      <c r="O25" s="51"/>
      <c r="P25" s="50" t="n">
        <f aca="false">P20+P24</f>
        <v>35090.89375</v>
      </c>
    </row>
    <row r="26" customFormat="false" ht="15" hidden="false" customHeight="false" outlineLevel="0" collapsed="false">
      <c r="A26" s="70" t="s">
        <v>208</v>
      </c>
      <c r="B26" s="70"/>
      <c r="C26" s="70"/>
      <c r="D26" s="70"/>
      <c r="E26" s="70"/>
      <c r="F26" s="70"/>
      <c r="G26" s="70"/>
      <c r="H26" s="70"/>
      <c r="I26" s="70"/>
      <c r="P26" s="71" t="n">
        <f aca="false">P25-J25</f>
        <v>9570.24375</v>
      </c>
    </row>
  </sheetData>
  <mergeCells count="20">
    <mergeCell ref="A1:P1"/>
    <mergeCell ref="A2:P2"/>
    <mergeCell ref="A4:C4"/>
    <mergeCell ref="D4:P4"/>
    <mergeCell ref="A5:C5"/>
    <mergeCell ref="D5:P5"/>
    <mergeCell ref="A6:C6"/>
    <mergeCell ref="D6:P6"/>
    <mergeCell ref="A7:C7"/>
    <mergeCell ref="D7:P7"/>
    <mergeCell ref="A8:C8"/>
    <mergeCell ref="D8:P8"/>
    <mergeCell ref="A9:C9"/>
    <mergeCell ref="D9:P9"/>
    <mergeCell ref="A12:C12"/>
    <mergeCell ref="D12:P12"/>
    <mergeCell ref="A20:I20"/>
    <mergeCell ref="A24:I24"/>
    <mergeCell ref="A25:I25"/>
    <mergeCell ref="A26:I26"/>
  </mergeCells>
  <printOptions headings="false" gridLines="false" gridLinesSet="true" horizontalCentered="true" verticalCentered="false"/>
  <pageMargins left="0.3" right="0.3" top="0.4" bottom="0.4"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CT-217&amp;R&amp;8 Página &amp;P de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803D"/>
    <pageSetUpPr fitToPage="tru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44"/>
    <col collapsed="false" customWidth="true" hidden="false" outlineLevel="0" max="3" min="3" style="0" width="20"/>
    <col collapsed="false" customWidth="true" hidden="false" outlineLevel="0" max="4" min="4" style="0" width="19"/>
    <col collapsed="false" customWidth="true" hidden="false" outlineLevel="0" max="5" min="5" style="0" width="17"/>
    <col collapsed="false" customWidth="true" hidden="false" outlineLevel="0" max="6" min="6" style="0" width="14"/>
    <col collapsed="false" customWidth="true" hidden="false" outlineLevel="0" max="7" min="7" style="0" width="11"/>
  </cols>
  <sheetData>
    <row r="1" customFormat="false" ht="33.75" hidden="false" customHeight="true" outlineLevel="0" collapsed="false">
      <c r="A1" s="1" t="s">
        <v>246</v>
      </c>
      <c r="B1" s="1"/>
      <c r="C1" s="1"/>
      <c r="D1" s="1"/>
      <c r="E1" s="1"/>
      <c r="F1" s="1"/>
      <c r="G1" s="1"/>
    </row>
    <row r="2" customFormat="false" ht="15.75" hidden="false" customHeight="true" outlineLevel="0" collapsed="false">
      <c r="A2" s="2" t="s">
        <v>247</v>
      </c>
      <c r="B2" s="2"/>
      <c r="C2" s="2"/>
      <c r="D2" s="2"/>
      <c r="E2" s="2"/>
      <c r="F2" s="2"/>
      <c r="G2" s="2"/>
    </row>
    <row r="4" customFormat="false" ht="27.75" hidden="false" customHeight="true" outlineLevel="0" collapsed="false">
      <c r="A4" s="18" t="s">
        <v>33</v>
      </c>
      <c r="B4" s="18" t="s">
        <v>248</v>
      </c>
      <c r="C4" s="18" t="s">
        <v>249</v>
      </c>
      <c r="D4" s="18" t="s">
        <v>250</v>
      </c>
      <c r="E4" s="18" t="s">
        <v>251</v>
      </c>
      <c r="F4" s="18" t="s">
        <v>252</v>
      </c>
      <c r="G4" s="18" t="s">
        <v>253</v>
      </c>
    </row>
    <row r="5" customFormat="false" ht="15" hidden="false" customHeight="false" outlineLevel="0" collapsed="false">
      <c r="A5" s="72" t="s">
        <v>47</v>
      </c>
      <c r="B5" s="73" t="s">
        <v>254</v>
      </c>
      <c r="C5" s="72" t="s">
        <v>40</v>
      </c>
      <c r="D5" s="74" t="n">
        <f aca="false">Resumo!H6</f>
        <v>42000</v>
      </c>
      <c r="E5" s="75" t="n">
        <v>42000</v>
      </c>
      <c r="F5" s="76" t="n">
        <f aca="false">D5-E5</f>
        <v>0</v>
      </c>
      <c r="G5" s="77" t="str">
        <f aca="false">IF(ROUND(F5,2)=0,"OK","DIVERGE")</f>
        <v>OK</v>
      </c>
    </row>
    <row r="6" customFormat="false" ht="15" hidden="false" customHeight="false" outlineLevel="0" collapsed="false">
      <c r="A6" s="72" t="s">
        <v>47</v>
      </c>
      <c r="B6" s="73" t="s">
        <v>254</v>
      </c>
      <c r="C6" s="72" t="s">
        <v>255</v>
      </c>
      <c r="D6" s="74" t="n">
        <f aca="false">Resumo!I6</f>
        <v>168260</v>
      </c>
      <c r="E6" s="75" t="n">
        <v>168260</v>
      </c>
      <c r="F6" s="76" t="n">
        <f aca="false">D6-E6</f>
        <v>0</v>
      </c>
      <c r="G6" s="77" t="str">
        <f aca="false">IF(ROUND(F6,2)=0,"OK","DIVERGE")</f>
        <v>OK</v>
      </c>
    </row>
    <row r="7" customFormat="false" ht="15" hidden="false" customHeight="false" outlineLevel="0" collapsed="false">
      <c r="A7" s="78" t="s">
        <v>47</v>
      </c>
      <c r="B7" s="79" t="s">
        <v>254</v>
      </c>
      <c r="C7" s="78" t="s">
        <v>256</v>
      </c>
      <c r="D7" s="80" t="n">
        <f aca="false">Resumo!J6</f>
        <v>210260</v>
      </c>
      <c r="E7" s="81" t="n">
        <v>210260</v>
      </c>
      <c r="F7" s="82" t="n">
        <f aca="false">D7-E7</f>
        <v>0</v>
      </c>
      <c r="G7" s="83" t="str">
        <f aca="false">IF(ROUND(F7,2)=0,"OK","DIVERGE")</f>
        <v>OK</v>
      </c>
    </row>
    <row r="8" customFormat="false" ht="15" hidden="false" customHeight="false" outlineLevel="0" collapsed="false">
      <c r="A8" s="72" t="s">
        <v>53</v>
      </c>
      <c r="B8" s="73" t="s">
        <v>257</v>
      </c>
      <c r="C8" s="72" t="s">
        <v>40</v>
      </c>
      <c r="D8" s="74" t="n">
        <f aca="false">Resumo!H7</f>
        <v>241857.6</v>
      </c>
      <c r="E8" s="75" t="n">
        <v>241857.6</v>
      </c>
      <c r="F8" s="76" t="n">
        <f aca="false">D8-E8</f>
        <v>0</v>
      </c>
      <c r="G8" s="77" t="str">
        <f aca="false">IF(ROUND(F8,2)=0,"OK","DIVERGE")</f>
        <v>OK</v>
      </c>
    </row>
    <row r="9" customFormat="false" ht="15" hidden="false" customHeight="false" outlineLevel="0" collapsed="false">
      <c r="A9" s="72" t="s">
        <v>53</v>
      </c>
      <c r="B9" s="73" t="s">
        <v>257</v>
      </c>
      <c r="C9" s="72" t="s">
        <v>255</v>
      </c>
      <c r="D9" s="74" t="n">
        <f aca="false">Resumo!I7</f>
        <v>54816.21</v>
      </c>
      <c r="E9" s="75" t="n">
        <v>54816.21</v>
      </c>
      <c r="F9" s="76" t="n">
        <f aca="false">D9-E9</f>
        <v>0</v>
      </c>
      <c r="G9" s="77" t="str">
        <f aca="false">IF(ROUND(F9,2)=0,"OK","DIVERGE")</f>
        <v>OK</v>
      </c>
    </row>
    <row r="10" customFormat="false" ht="15" hidden="false" customHeight="false" outlineLevel="0" collapsed="false">
      <c r="A10" s="78" t="s">
        <v>53</v>
      </c>
      <c r="B10" s="79" t="s">
        <v>257</v>
      </c>
      <c r="C10" s="78" t="s">
        <v>256</v>
      </c>
      <c r="D10" s="80" t="n">
        <f aca="false">Resumo!J7</f>
        <v>296673.81</v>
      </c>
      <c r="E10" s="81" t="n">
        <v>296673.81</v>
      </c>
      <c r="F10" s="82" t="n">
        <f aca="false">D10-E10</f>
        <v>0</v>
      </c>
      <c r="G10" s="83" t="str">
        <f aca="false">IF(ROUND(F10,2)=0,"OK","DIVERGE")</f>
        <v>OK</v>
      </c>
    </row>
    <row r="11" customFormat="false" ht="15" hidden="false" customHeight="false" outlineLevel="0" collapsed="false">
      <c r="A11" s="72" t="s">
        <v>59</v>
      </c>
      <c r="B11" s="73" t="s">
        <v>258</v>
      </c>
      <c r="C11" s="72" t="s">
        <v>40</v>
      </c>
      <c r="D11" s="74" t="n">
        <f aca="false">Resumo!H8</f>
        <v>32500</v>
      </c>
      <c r="E11" s="75" t="n">
        <v>32500</v>
      </c>
      <c r="F11" s="76" t="n">
        <f aca="false">D11-E11</f>
        <v>0</v>
      </c>
      <c r="G11" s="77" t="str">
        <f aca="false">IF(ROUND(F11,2)=0,"OK","DIVERGE")</f>
        <v>OK</v>
      </c>
    </row>
    <row r="12" customFormat="false" ht="15" hidden="false" customHeight="false" outlineLevel="0" collapsed="false">
      <c r="A12" s="72" t="s">
        <v>59</v>
      </c>
      <c r="B12" s="73" t="s">
        <v>258</v>
      </c>
      <c r="C12" s="72" t="s">
        <v>255</v>
      </c>
      <c r="D12" s="74" t="n">
        <f aca="false">Resumo!I8</f>
        <v>92043.05</v>
      </c>
      <c r="E12" s="75" t="n">
        <v>92043.05</v>
      </c>
      <c r="F12" s="76" t="n">
        <f aca="false">D12-E12</f>
        <v>0</v>
      </c>
      <c r="G12" s="77" t="str">
        <f aca="false">IF(ROUND(F12,2)=0,"OK","DIVERGE")</f>
        <v>OK</v>
      </c>
    </row>
    <row r="13" customFormat="false" ht="15" hidden="false" customHeight="false" outlineLevel="0" collapsed="false">
      <c r="A13" s="78" t="s">
        <v>59</v>
      </c>
      <c r="B13" s="79" t="s">
        <v>258</v>
      </c>
      <c r="C13" s="78" t="s">
        <v>256</v>
      </c>
      <c r="D13" s="80" t="n">
        <f aca="false">Resumo!J8</f>
        <v>124543.05</v>
      </c>
      <c r="E13" s="81" t="n">
        <v>124543.05</v>
      </c>
      <c r="F13" s="82" t="n">
        <f aca="false">D13-E13</f>
        <v>0</v>
      </c>
      <c r="G13" s="83" t="str">
        <f aca="false">IF(ROUND(F13,2)=0,"OK","DIVERGE")</f>
        <v>OK</v>
      </c>
    </row>
    <row r="14" customFormat="false" ht="15" hidden="false" customHeight="false" outlineLevel="0" collapsed="false">
      <c r="A14" s="72" t="s">
        <v>65</v>
      </c>
      <c r="B14" s="73" t="s">
        <v>259</v>
      </c>
      <c r="C14" s="72" t="s">
        <v>40</v>
      </c>
      <c r="D14" s="74" t="n">
        <f aca="false">Resumo!H9</f>
        <v>95923.2</v>
      </c>
      <c r="E14" s="75" t="n">
        <v>95923.2</v>
      </c>
      <c r="F14" s="76" t="n">
        <f aca="false">D14-E14</f>
        <v>0</v>
      </c>
      <c r="G14" s="77" t="str">
        <f aca="false">IF(ROUND(F14,2)=0,"OK","DIVERGE")</f>
        <v>OK</v>
      </c>
    </row>
    <row r="15" customFormat="false" ht="15" hidden="false" customHeight="false" outlineLevel="0" collapsed="false">
      <c r="A15" s="72" t="s">
        <v>65</v>
      </c>
      <c r="B15" s="73" t="s">
        <v>259</v>
      </c>
      <c r="C15" s="72" t="s">
        <v>255</v>
      </c>
      <c r="D15" s="74" t="n">
        <f aca="false">Resumo!I9</f>
        <v>0</v>
      </c>
      <c r="E15" s="75" t="n">
        <v>0</v>
      </c>
      <c r="F15" s="76" t="n">
        <f aca="false">D15-E15</f>
        <v>0</v>
      </c>
      <c r="G15" s="77" t="str">
        <f aca="false">IF(ROUND(F15,2)=0,"OK","DIVERGE")</f>
        <v>OK</v>
      </c>
    </row>
    <row r="16" customFormat="false" ht="15" hidden="false" customHeight="false" outlineLevel="0" collapsed="false">
      <c r="A16" s="78" t="s">
        <v>65</v>
      </c>
      <c r="B16" s="79" t="s">
        <v>259</v>
      </c>
      <c r="C16" s="78" t="s">
        <v>256</v>
      </c>
      <c r="D16" s="80" t="n">
        <f aca="false">Resumo!J9</f>
        <v>95923.2</v>
      </c>
      <c r="E16" s="81" t="n">
        <v>95923.2</v>
      </c>
      <c r="F16" s="82" t="n">
        <f aca="false">D16-E16</f>
        <v>0</v>
      </c>
      <c r="G16" s="83" t="str">
        <f aca="false">IF(ROUND(F16,2)=0,"OK","DIVERGE")</f>
        <v>OK</v>
      </c>
    </row>
    <row r="17" customFormat="false" ht="15" hidden="false" customHeight="false" outlineLevel="0" collapsed="false">
      <c r="A17" s="72" t="s">
        <v>71</v>
      </c>
      <c r="B17" s="73" t="s">
        <v>260</v>
      </c>
      <c r="C17" s="72" t="s">
        <v>40</v>
      </c>
      <c r="D17" s="74" t="n">
        <f aca="false">Resumo!H10</f>
        <v>60000</v>
      </c>
      <c r="E17" s="75" t="n">
        <v>60000</v>
      </c>
      <c r="F17" s="76" t="n">
        <f aca="false">D17-E17</f>
        <v>0</v>
      </c>
      <c r="G17" s="77" t="str">
        <f aca="false">IF(ROUND(F17,2)=0,"OK","DIVERGE")</f>
        <v>OK</v>
      </c>
    </row>
    <row r="18" customFormat="false" ht="15" hidden="false" customHeight="false" outlineLevel="0" collapsed="false">
      <c r="A18" s="72" t="s">
        <v>71</v>
      </c>
      <c r="B18" s="73" t="s">
        <v>260</v>
      </c>
      <c r="C18" s="72" t="s">
        <v>255</v>
      </c>
      <c r="D18" s="74" t="n">
        <f aca="false">Resumo!I10</f>
        <v>37671</v>
      </c>
      <c r="E18" s="75" t="n">
        <v>37671</v>
      </c>
      <c r="F18" s="76" t="n">
        <f aca="false">D18-E18</f>
        <v>0</v>
      </c>
      <c r="G18" s="77" t="str">
        <f aca="false">IF(ROUND(F18,2)=0,"OK","DIVERGE")</f>
        <v>OK</v>
      </c>
    </row>
    <row r="19" customFormat="false" ht="15" hidden="false" customHeight="false" outlineLevel="0" collapsed="false">
      <c r="A19" s="78" t="s">
        <v>71</v>
      </c>
      <c r="B19" s="79" t="s">
        <v>260</v>
      </c>
      <c r="C19" s="78" t="s">
        <v>256</v>
      </c>
      <c r="D19" s="80" t="n">
        <f aca="false">Resumo!J10</f>
        <v>97671</v>
      </c>
      <c r="E19" s="81" t="n">
        <v>97671</v>
      </c>
      <c r="F19" s="82" t="n">
        <f aca="false">D19-E19</f>
        <v>0</v>
      </c>
      <c r="G19" s="83" t="str">
        <f aca="false">IF(ROUND(F19,2)=0,"OK","DIVERGE")</f>
        <v>OK</v>
      </c>
    </row>
    <row r="20" customFormat="false" ht="15" hidden="false" customHeight="false" outlineLevel="0" collapsed="false">
      <c r="A20" s="72" t="s">
        <v>77</v>
      </c>
      <c r="B20" s="73" t="s">
        <v>261</v>
      </c>
      <c r="C20" s="72" t="s">
        <v>40</v>
      </c>
      <c r="D20" s="74" t="n">
        <f aca="false">Resumo!H11</f>
        <v>23605.65</v>
      </c>
      <c r="E20" s="75" t="n">
        <v>23605.65</v>
      </c>
      <c r="F20" s="76" t="n">
        <f aca="false">D20-E20</f>
        <v>0</v>
      </c>
      <c r="G20" s="77" t="str">
        <f aca="false">IF(ROUND(F20,2)=0,"OK","DIVERGE")</f>
        <v>OK</v>
      </c>
    </row>
    <row r="21" customFormat="false" ht="15" hidden="false" customHeight="false" outlineLevel="0" collapsed="false">
      <c r="A21" s="72" t="s">
        <v>77</v>
      </c>
      <c r="B21" s="73" t="s">
        <v>261</v>
      </c>
      <c r="C21" s="72" t="s">
        <v>255</v>
      </c>
      <c r="D21" s="74" t="n">
        <f aca="false">Resumo!I11</f>
        <v>1915</v>
      </c>
      <c r="E21" s="75" t="n">
        <v>1915</v>
      </c>
      <c r="F21" s="76" t="n">
        <f aca="false">D21-E21</f>
        <v>0</v>
      </c>
      <c r="G21" s="77" t="str">
        <f aca="false">IF(ROUND(F21,2)=0,"OK","DIVERGE")</f>
        <v>OK</v>
      </c>
    </row>
    <row r="22" customFormat="false" ht="15" hidden="false" customHeight="false" outlineLevel="0" collapsed="false">
      <c r="A22" s="78" t="s">
        <v>77</v>
      </c>
      <c r="B22" s="79" t="s">
        <v>261</v>
      </c>
      <c r="C22" s="78" t="s">
        <v>256</v>
      </c>
      <c r="D22" s="80" t="n">
        <f aca="false">Resumo!J11</f>
        <v>25520.65</v>
      </c>
      <c r="E22" s="81" t="n">
        <v>25520.65</v>
      </c>
      <c r="F22" s="82" t="n">
        <f aca="false">D22-E22</f>
        <v>0</v>
      </c>
      <c r="G22" s="83" t="str">
        <f aca="false">IF(ROUND(F22,2)=0,"OK","DIVERGE")</f>
        <v>OK</v>
      </c>
    </row>
    <row r="24" customFormat="false" ht="15" hidden="false" customHeight="false" outlineLevel="0" collapsed="false">
      <c r="C24" s="84" t="s">
        <v>262</v>
      </c>
      <c r="G24" s="85" t="str">
        <f aca="false">IF(COUNTIF(G5:G22,"DIVERGE")=0,"TUDO OK","VERIFICAR")</f>
        <v>TUDO OK</v>
      </c>
    </row>
    <row r="26" customFormat="false" ht="15" hidden="false" customHeight="true" outlineLevel="0" collapsed="false">
      <c r="A26" s="86" t="s">
        <v>263</v>
      </c>
      <c r="B26" s="86"/>
      <c r="C26" s="86"/>
      <c r="D26" s="86"/>
      <c r="E26" s="86"/>
      <c r="F26" s="86"/>
      <c r="G26" s="86"/>
    </row>
    <row r="27" customFormat="false" ht="15" hidden="false" customHeight="false" outlineLevel="0" collapsed="false">
      <c r="A27" s="86"/>
      <c r="B27" s="86"/>
      <c r="C27" s="86"/>
      <c r="D27" s="86"/>
      <c r="E27" s="86"/>
      <c r="F27" s="86"/>
      <c r="G27" s="86"/>
    </row>
  </sheetData>
  <mergeCells count="3">
    <mergeCell ref="A1:G1"/>
    <mergeCell ref="A2:G2"/>
    <mergeCell ref="A26:G27"/>
  </mergeCells>
  <printOptions headings="false" gridLines="false" gridLinesSet="true" horizontalCentered="true" verticalCentered="false"/>
  <pageMargins left="0.3" right="0.3" top="0.4" bottom="0.4"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Conferência&amp;R&amp;8 Página &amp;P de &amp;N</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2026-08-21T20:07:04Z</dcterms:created>
  <dc:creator>openpyxl</dc:creator>
  <dc:description/>
  <dc:language>en-US</dc:language>
  <cp:lastModifiedBy/>
  <dcterms:modified xsi:type="dcterms:W3CDTF">2026-08-21T20:07:05Z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